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38a93068e4bbb2a7/Desktop/APS实习/"/>
    </mc:Choice>
  </mc:AlternateContent>
  <xr:revisionPtr revIDLastSave="188" documentId="8_{562700C7-BFA7-490A-9D84-B45BF8D0A268}" xr6:coauthVersionLast="47" xr6:coauthVersionMax="47" xr10:uidLastSave="{77B3279B-41FC-41BA-86A6-A06185CEB1F7}"/>
  <bookViews>
    <workbookView xWindow="4760" yWindow="4700" windowWidth="19200" windowHeight="11300" xr2:uid="{7D166325-A9EF-4396-8CF3-678DC01C7CA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0" i="1" l="1"/>
  <c r="D150" i="1"/>
  <c r="B150" i="1"/>
  <c r="L149" i="1"/>
  <c r="D149" i="1"/>
  <c r="B149" i="1"/>
  <c r="L148" i="1"/>
  <c r="D148" i="1"/>
  <c r="B148" i="1"/>
  <c r="L147" i="1"/>
  <c r="D147" i="1"/>
  <c r="B147" i="1"/>
  <c r="L146" i="1"/>
  <c r="D146" i="1"/>
  <c r="B146" i="1"/>
  <c r="L145" i="1"/>
  <c r="D145" i="1"/>
  <c r="B145" i="1"/>
  <c r="L144" i="1"/>
  <c r="D144" i="1"/>
  <c r="B144" i="1"/>
  <c r="L143" i="1"/>
  <c r="D143" i="1"/>
  <c r="B143" i="1"/>
  <c r="L142" i="1"/>
  <c r="D142" i="1"/>
  <c r="B142" i="1"/>
  <c r="L141" i="1"/>
  <c r="D141" i="1"/>
  <c r="B141" i="1"/>
  <c r="L140" i="1"/>
  <c r="D140" i="1"/>
  <c r="B140" i="1"/>
  <c r="L139" i="1"/>
  <c r="D139" i="1"/>
  <c r="B139" i="1"/>
  <c r="L152" i="1"/>
  <c r="D152" i="1"/>
  <c r="B152" i="1"/>
  <c r="L151" i="1"/>
  <c r="D151" i="1"/>
  <c r="B151" i="1"/>
  <c r="L137" i="1"/>
  <c r="D137" i="1"/>
  <c r="B137" i="1"/>
  <c r="L136" i="1"/>
  <c r="D136" i="1"/>
  <c r="B136" i="1"/>
  <c r="L135" i="1"/>
  <c r="D135" i="1"/>
  <c r="B135" i="1"/>
  <c r="L134" i="1"/>
  <c r="D134" i="1"/>
  <c r="B134" i="1"/>
  <c r="L133" i="1"/>
  <c r="D133" i="1"/>
  <c r="B133" i="1"/>
  <c r="L132" i="1"/>
  <c r="D132" i="1"/>
  <c r="B132" i="1"/>
  <c r="L131" i="1"/>
  <c r="D131" i="1"/>
  <c r="B131" i="1"/>
  <c r="L130" i="1"/>
  <c r="D130" i="1"/>
  <c r="B130" i="1"/>
  <c r="L123" i="1"/>
  <c r="D123" i="1"/>
  <c r="B123" i="1"/>
  <c r="L120" i="1"/>
  <c r="D120" i="1"/>
  <c r="B120" i="1"/>
  <c r="L121" i="1"/>
  <c r="D121" i="1"/>
  <c r="B121" i="1"/>
  <c r="L122" i="1"/>
  <c r="D122" i="1"/>
  <c r="B122" i="1"/>
  <c r="L119" i="1"/>
  <c r="D119" i="1"/>
  <c r="B119" i="1"/>
  <c r="L118" i="1"/>
  <c r="D118" i="1"/>
  <c r="B118" i="1"/>
  <c r="D116" i="1"/>
  <c r="L128" i="1"/>
  <c r="D128" i="1"/>
  <c r="B128" i="1"/>
  <c r="L127" i="1"/>
  <c r="D127" i="1"/>
  <c r="B127" i="1"/>
  <c r="L116" i="1"/>
  <c r="B116" i="1"/>
  <c r="L126" i="1"/>
  <c r="D126" i="1"/>
  <c r="B126" i="1"/>
  <c r="L125" i="1"/>
  <c r="D125" i="1"/>
  <c r="B125" i="1"/>
  <c r="L110" i="1"/>
  <c r="D110" i="1"/>
  <c r="B110" i="1"/>
  <c r="L72" i="1"/>
  <c r="D72" i="1"/>
  <c r="B72" i="1"/>
  <c r="L71" i="1"/>
  <c r="D71" i="1"/>
  <c r="B71" i="1"/>
  <c r="L115" i="1"/>
  <c r="D115" i="1"/>
  <c r="B115" i="1"/>
  <c r="L114" i="1"/>
  <c r="D114" i="1"/>
  <c r="B114" i="1"/>
  <c r="L113" i="1"/>
  <c r="D113" i="1"/>
  <c r="B113" i="1"/>
  <c r="L112" i="1"/>
  <c r="D112" i="1"/>
  <c r="B112" i="1"/>
  <c r="L111" i="1"/>
  <c r="D111" i="1"/>
  <c r="B111" i="1"/>
  <c r="L108" i="1"/>
  <c r="D108" i="1"/>
  <c r="B108" i="1"/>
  <c r="L107" i="1"/>
  <c r="D107" i="1"/>
  <c r="B107" i="1"/>
  <c r="L106" i="1"/>
  <c r="D106" i="1"/>
  <c r="B106" i="1"/>
  <c r="L183" i="1"/>
  <c r="D183" i="1"/>
  <c r="B183" i="1"/>
  <c r="L45" i="1"/>
  <c r="D45" i="1"/>
  <c r="B45" i="1"/>
  <c r="L182" i="1"/>
  <c r="D182" i="1"/>
  <c r="B182" i="1"/>
  <c r="L181" i="1"/>
  <c r="D181" i="1"/>
  <c r="B181" i="1"/>
  <c r="L180" i="1"/>
  <c r="D180" i="1"/>
  <c r="B180" i="1"/>
  <c r="L179" i="1"/>
  <c r="D179" i="1"/>
  <c r="B179" i="1"/>
  <c r="L104" i="1"/>
  <c r="D104" i="1"/>
  <c r="B104" i="1"/>
  <c r="L103" i="1"/>
  <c r="D103" i="1"/>
  <c r="B103" i="1"/>
  <c r="L99" i="1"/>
  <c r="D99" i="1"/>
  <c r="B99" i="1"/>
  <c r="L98" i="1"/>
  <c r="D98" i="1"/>
  <c r="B98" i="1"/>
  <c r="L102" i="1"/>
  <c r="D102" i="1"/>
  <c r="B102" i="1"/>
  <c r="L101" i="1"/>
  <c r="D101" i="1"/>
  <c r="B101" i="1"/>
  <c r="L100" i="1"/>
  <c r="D100" i="1"/>
  <c r="B100" i="1"/>
  <c r="L97" i="1"/>
  <c r="B97" i="1"/>
  <c r="L96" i="1"/>
  <c r="D96" i="1"/>
  <c r="B96" i="1"/>
  <c r="L95" i="1"/>
  <c r="D95" i="1"/>
  <c r="B95" i="1"/>
  <c r="L94" i="1"/>
  <c r="D94" i="1"/>
  <c r="B94" i="1"/>
  <c r="L93" i="1"/>
  <c r="D93" i="1"/>
  <c r="B93" i="1"/>
  <c r="L92" i="1"/>
  <c r="D92" i="1"/>
  <c r="B92" i="1"/>
  <c r="L90" i="1"/>
  <c r="D90" i="1"/>
  <c r="B90" i="1"/>
  <c r="L89" i="1"/>
  <c r="D89" i="1"/>
  <c r="B89" i="1"/>
  <c r="L88" i="1"/>
  <c r="D88" i="1"/>
  <c r="B88" i="1"/>
  <c r="L87" i="1"/>
  <c r="D87" i="1"/>
  <c r="B87" i="1"/>
  <c r="L86" i="1"/>
  <c r="D86" i="1"/>
  <c r="B86" i="1"/>
  <c r="L85" i="1"/>
  <c r="D85" i="1"/>
  <c r="B85" i="1"/>
  <c r="L84" i="1"/>
  <c r="D84" i="1"/>
  <c r="B84" i="1"/>
  <c r="L83" i="1"/>
  <c r="D83" i="1"/>
  <c r="B83" i="1"/>
  <c r="L82" i="1"/>
  <c r="D82" i="1"/>
  <c r="B82" i="1"/>
  <c r="L81" i="1"/>
  <c r="D81" i="1"/>
  <c r="B81" i="1"/>
  <c r="L80" i="1"/>
  <c r="D80" i="1"/>
  <c r="B80" i="1"/>
  <c r="L78" i="1"/>
  <c r="D78" i="1"/>
  <c r="B78" i="1"/>
  <c r="L77" i="1"/>
  <c r="D77" i="1"/>
  <c r="B77" i="1"/>
  <c r="L76" i="1"/>
  <c r="D76" i="1"/>
  <c r="B76" i="1"/>
  <c r="L75" i="1"/>
  <c r="D75" i="1"/>
  <c r="B75" i="1"/>
  <c r="L74" i="1"/>
  <c r="D74" i="1"/>
  <c r="B74" i="1"/>
  <c r="L69" i="1"/>
  <c r="D69" i="1"/>
  <c r="B69" i="1"/>
  <c r="L68" i="1"/>
  <c r="D68" i="1"/>
  <c r="B68" i="1"/>
  <c r="L67" i="1"/>
  <c r="D67" i="1"/>
  <c r="B67" i="1"/>
  <c r="L66" i="1"/>
  <c r="D66" i="1"/>
  <c r="B66" i="1"/>
  <c r="L65" i="1"/>
  <c r="D65" i="1"/>
  <c r="B65" i="1"/>
  <c r="L64" i="1"/>
  <c r="D64" i="1"/>
  <c r="B64" i="1"/>
  <c r="L63" i="1"/>
  <c r="D63" i="1"/>
  <c r="B63" i="1"/>
  <c r="L62" i="1"/>
  <c r="D62" i="1"/>
  <c r="B62" i="1"/>
  <c r="L61" i="1"/>
  <c r="D61" i="1"/>
  <c r="B61" i="1"/>
  <c r="L60" i="1"/>
  <c r="D60" i="1"/>
  <c r="B60" i="1"/>
  <c r="L59" i="1"/>
  <c r="D59" i="1"/>
  <c r="B59" i="1"/>
  <c r="L58" i="1"/>
  <c r="D58" i="1"/>
  <c r="B58" i="1"/>
  <c r="L57" i="1"/>
  <c r="D57" i="1"/>
  <c r="B57" i="1"/>
  <c r="L56" i="1"/>
  <c r="D56" i="1"/>
  <c r="B56" i="1"/>
  <c r="L55" i="1"/>
  <c r="D55" i="1"/>
  <c r="B55" i="1"/>
  <c r="L53" i="1"/>
  <c r="D53" i="1"/>
  <c r="B53" i="1"/>
  <c r="L52" i="1"/>
  <c r="D52" i="1"/>
  <c r="B52" i="1"/>
  <c r="L50" i="1"/>
  <c r="D50" i="1"/>
  <c r="B50" i="1"/>
  <c r="L49" i="1"/>
  <c r="D49" i="1"/>
  <c r="B49" i="1"/>
  <c r="L48" i="1"/>
  <c r="D48" i="1"/>
  <c r="B48" i="1"/>
  <c r="L47" i="1"/>
  <c r="D47" i="1"/>
  <c r="B47" i="1"/>
  <c r="L44" i="1"/>
  <c r="D44" i="1"/>
  <c r="B44" i="1"/>
  <c r="L43" i="1"/>
  <c r="D43" i="1"/>
  <c r="B43" i="1"/>
  <c r="L41" i="1"/>
  <c r="D41" i="1"/>
  <c r="B41" i="1"/>
  <c r="L42" i="1"/>
  <c r="D42" i="1"/>
  <c r="B42" i="1"/>
  <c r="L40" i="1"/>
  <c r="D40" i="1"/>
  <c r="B40" i="1"/>
  <c r="L39" i="1"/>
  <c r="D39" i="1"/>
  <c r="B39" i="1"/>
  <c r="L37" i="1"/>
  <c r="D37" i="1"/>
  <c r="B37" i="1"/>
  <c r="L36" i="1"/>
  <c r="D36" i="1"/>
  <c r="B36" i="1"/>
  <c r="L34" i="1"/>
  <c r="D34" i="1"/>
  <c r="B34" i="1"/>
  <c r="L33" i="1"/>
  <c r="D33" i="1"/>
  <c r="B33" i="1"/>
  <c r="L32" i="1"/>
  <c r="D32" i="1"/>
  <c r="B32" i="1"/>
  <c r="L31" i="1"/>
  <c r="D31" i="1"/>
  <c r="B31" i="1"/>
  <c r="L30" i="1"/>
  <c r="D30" i="1"/>
  <c r="B30" i="1"/>
  <c r="L28" i="1"/>
  <c r="D28" i="1"/>
  <c r="B28" i="1"/>
  <c r="L27" i="1"/>
  <c r="D27" i="1"/>
  <c r="B27" i="1"/>
  <c r="L26" i="1"/>
  <c r="D26" i="1"/>
  <c r="B26" i="1"/>
  <c r="L25" i="1"/>
  <c r="D25" i="1"/>
  <c r="B25" i="1"/>
  <c r="L20" i="1"/>
  <c r="D20" i="1"/>
  <c r="B20" i="1"/>
  <c r="L19" i="1"/>
  <c r="D19" i="1"/>
  <c r="B19" i="1"/>
  <c r="L18" i="1"/>
  <c r="D18" i="1"/>
  <c r="B18" i="1"/>
  <c r="L17" i="1"/>
  <c r="D17" i="1"/>
  <c r="B17" i="1"/>
  <c r="L16" i="1"/>
  <c r="D16" i="1"/>
  <c r="B16" i="1"/>
  <c r="L12" i="1"/>
  <c r="D12" i="1"/>
  <c r="B12" i="1"/>
  <c r="L11" i="1"/>
  <c r="D11" i="1"/>
  <c r="B11" i="1"/>
  <c r="L15" i="1"/>
  <c r="D15" i="1"/>
  <c r="B15" i="1"/>
  <c r="L14" i="1"/>
  <c r="D14" i="1"/>
  <c r="B14" i="1"/>
  <c r="L13" i="1"/>
  <c r="D13" i="1"/>
  <c r="B13" i="1"/>
  <c r="L24" i="1"/>
  <c r="D24" i="1"/>
  <c r="B24" i="1"/>
  <c r="L23" i="1"/>
  <c r="D23" i="1"/>
  <c r="B23" i="1"/>
  <c r="L22" i="1"/>
  <c r="D22" i="1"/>
  <c r="B22" i="1"/>
  <c r="L9" i="1"/>
  <c r="D9" i="1"/>
  <c r="B9" i="1"/>
  <c r="L8" i="1"/>
  <c r="D8" i="1"/>
  <c r="B8" i="1"/>
  <c r="L7" i="1"/>
  <c r="D7" i="1"/>
  <c r="B7" i="1"/>
  <c r="L6" i="1"/>
  <c r="D6" i="1"/>
  <c r="B6" i="1"/>
  <c r="L4" i="1"/>
  <c r="D4" i="1"/>
  <c r="B4" i="1"/>
  <c r="L3" i="1"/>
  <c r="D3" i="1"/>
  <c r="B3" i="1"/>
  <c r="L5" i="1"/>
  <c r="D5" i="1"/>
  <c r="B5" i="1"/>
</calcChain>
</file>

<file path=xl/sharedStrings.xml><?xml version="1.0" encoding="utf-8"?>
<sst xmlns="http://schemas.openxmlformats.org/spreadsheetml/2006/main" count="971" uniqueCount="619">
  <si>
    <t>函数名</t>
    <phoneticPr fontId="2" type="noConversion"/>
  </si>
  <si>
    <t>完整函数</t>
    <phoneticPr fontId="2" type="noConversion"/>
  </si>
  <si>
    <t>说明</t>
    <phoneticPr fontId="2" type="noConversion"/>
  </si>
  <si>
    <t>返回值类型及其说明</t>
    <phoneticPr fontId="2" type="noConversion"/>
  </si>
  <si>
    <t>返回值类型</t>
    <phoneticPr fontId="2" type="noConversion"/>
  </si>
  <si>
    <t>返回值说明</t>
    <phoneticPr fontId="2" type="noConversion"/>
  </si>
  <si>
    <t>返回对象的类ID</t>
    <phoneticPr fontId="2" type="noConversion"/>
  </si>
  <si>
    <t>参数个数</t>
    <phoneticPr fontId="2" type="noConversion"/>
  </si>
  <si>
    <t>参数的数据类型</t>
    <phoneticPr fontId="2" type="noConversion"/>
  </si>
  <si>
    <t>参数的说明</t>
    <phoneticPr fontId="2" type="noConversion"/>
  </si>
  <si>
    <t>参数的范例</t>
    <phoneticPr fontId="2" type="noConversion"/>
  </si>
  <si>
    <t>示例</t>
    <phoneticPr fontId="2" type="noConversion"/>
  </si>
  <si>
    <t>日期时间截取类7个</t>
    <phoneticPr fontId="1" type="noConversion"/>
  </si>
  <si>
    <t>GetDayPart</t>
  </si>
  <si>
    <t>返回截取日期的日(1～31)部分的值。</t>
  </si>
  <si>
    <t>整数</t>
  </si>
  <si>
    <t>日（1～31）</t>
  </si>
  <si>
    <t>日期</t>
  </si>
  <si>
    <t>时间参数</t>
  </si>
  <si>
    <t>#2023/10/5 14:30#</t>
  </si>
  <si>
    <t>GetYearPart</t>
  </si>
  <si>
    <t>返回截取日期的年部分的值。</t>
  </si>
  <si>
    <t>年（例：2023）</t>
  </si>
  <si>
    <t>GetMonthPart</t>
  </si>
  <si>
    <t>返回截取日期的月(1～12)部分的值。</t>
  </si>
  <si>
    <t>月（1～12）</t>
  </si>
  <si>
    <t>GetHourPart</t>
  </si>
  <si>
    <t>返回截取日期的时间(0～24)部分的值。</t>
  </si>
  <si>
    <t>时间(0～23）</t>
  </si>
  <si>
    <t>GetMinutePart</t>
  </si>
  <si>
    <t>返回截取时间的分(0～59)部分的值。</t>
  </si>
  <si>
    <t>分(0～59）</t>
  </si>
  <si>
    <t>时刻</t>
  </si>
  <si>
    <t>GetSecondPart</t>
  </si>
  <si>
    <t>返回截取时间的秒(0～59)部分的值。</t>
  </si>
  <si>
    <t>秒(0～59）</t>
  </si>
  <si>
    <t>GetTimePart</t>
  </si>
  <si>
    <t>返回时刻的时间部分。</t>
  </si>
  <si>
    <t>#2023/05/01 13:30:00#</t>
  </si>
  <si>
    <t>DateF</t>
  </si>
  <si>
    <t>返回所指定的年、月、日、时、分、秒的日期。</t>
    <phoneticPr fontId="2" type="noConversion"/>
  </si>
  <si>
    <t>把数字转换称时刻</t>
  </si>
  <si>
    <t>整数;整数;整数;整数</t>
    <phoneticPr fontId="2" type="noConversion"/>
  </si>
  <si>
    <t>年;月;日;时;分;秒</t>
    <phoneticPr fontId="2" type="noConversion"/>
  </si>
  <si>
    <t>2023;4;25;1;2;3</t>
    <phoneticPr fontId="2" type="noConversion"/>
  </si>
  <si>
    <t>DateS</t>
  </si>
  <si>
    <t>返回所指定的年、月、日的日期。</t>
  </si>
  <si>
    <t>整数;整数;整数</t>
  </si>
  <si>
    <t>年;月;日</t>
  </si>
  <si>
    <t>2023;4;25</t>
  </si>
  <si>
    <t>DateT</t>
  </si>
  <si>
    <t>从所指定的年月日及时间返回时刻。</t>
  </si>
  <si>
    <t>整数;整数;整数;时间间隔</t>
  </si>
  <si>
    <t>年;月;日;时刻的时间</t>
    <phoneticPr fontId="2" type="noConversion"/>
  </si>
  <si>
    <t>2023;5;30;6H</t>
    <phoneticPr fontId="2" type="noConversion"/>
  </si>
  <si>
    <t>EndOfNextDay</t>
  </si>
  <si>
    <t>(x+1)日后当日的开始时刻的一秒之前( 例: EndOfNextDay(2023/01/01 16:00, 3) -&gt; 2023/01/05 7:59 )</t>
  </si>
  <si>
    <t>(x+1)日后当日的开始时刻的一秒之前</t>
  </si>
  <si>
    <t>日期;实数</t>
  </si>
  <si>
    <t>时间参数;追加天数</t>
  </si>
  <si>
    <t>#2023/10/5 14:30#;0</t>
  </si>
  <si>
    <t>EndOfNextHour</t>
  </si>
  <si>
    <t>(x+1)小时后的开始时刻的一秒之前( 例: EndOfNextHour(#2023/01/01 10:15#, 1) -&gt; 2023/01/01 11:59:59 )</t>
  </si>
  <si>
    <t>(x+1)小时后的开始时刻的一秒之前</t>
  </si>
  <si>
    <t>时间参数;追加小时数</t>
  </si>
  <si>
    <t>#2023/10/5#;0</t>
  </si>
  <si>
    <t>EndOfNextMinute</t>
  </si>
  <si>
    <t>(x+1)分钟后的开始时刻的一秒之前( 例: EndOfNextMinute(#2023/01/01 10:00:15#, 1) -&gt; 2023/01/01 10:01:59 )</t>
  </si>
  <si>
    <t>(x+1)分钟后的开始时刻的一秒之前</t>
  </si>
  <si>
    <t>时间参数;追加分钟数</t>
  </si>
  <si>
    <t>EndOfNextMonth</t>
  </si>
  <si>
    <t>(x+1)个月之后当月的开始时刻1秒之前</t>
  </si>
  <si>
    <t>时间参数;追加月数</t>
    <phoneticPr fontId="2" type="noConversion"/>
  </si>
  <si>
    <t>EndOfNextWeek</t>
  </si>
  <si>
    <t>(x+1)周后周的开始时刻的1秒之前( 2023年1月1日(周四)16点的2周之后的开始时刻(日区分时刻：8点)为例: EndOfNextWeek(2023/01/05 16:00, 2) -&gt; 2023/01/23 7:59 )</t>
  </si>
  <si>
    <t>(x+1)周之后当周的周一的开始时刻的1秒之前</t>
  </si>
  <si>
    <t>时间参数;追加周数</t>
  </si>
  <si>
    <t>StartOfNextMonth</t>
  </si>
  <si>
    <t>x个月之后当月的开始时刻( 例: StartOfNextMonth(2023/01/01 16:00, 1) -&gt; 2023/02/01 8:00 )</t>
  </si>
  <si>
    <t>x个月之后当月的开始时刻</t>
  </si>
  <si>
    <t>时间参数;追加月数</t>
  </si>
  <si>
    <t>StartOfNextWeek</t>
  </si>
  <si>
    <t>x周后当周的星期一的开始时刻( 2023年1月1日(周四)16点的2周之后的开始时刻(日区分时刻：8点)为例: StartOfNextDay(2023/01/05 16:00, 2) -&gt; 2023/01/16 8:00 )</t>
  </si>
  <si>
    <t>x周之后当周的星期一的开始时刻</t>
  </si>
  <si>
    <t>StartOfNextDay</t>
  </si>
  <si>
    <t>x日后当日的开始时刻( 一天的开始时刻为8点时的例:StartOfNextDay(2023/01/01 16:00, 3) -&gt; 2023/01/04 8:00 )</t>
  </si>
  <si>
    <t>x日后当日的开始时刻</t>
  </si>
  <si>
    <t>StartOfNextHour</t>
  </si>
  <si>
    <t>x小时后的开始时刻( 例: StartOfNextHour(#2023/01/01 10:15#, 1) -&gt; 2023/01/01 11:00 )</t>
  </si>
  <si>
    <t>x小时后的开始时刻</t>
  </si>
  <si>
    <t>StartOfNextMinute</t>
  </si>
  <si>
    <t>x分钟后的开始时刻( 例: StartOfNextMinute(#2023/01/01 10:00:15#, 1) -&gt; 2023/01/01 10:01:00 )</t>
  </si>
  <si>
    <t>x分钟后的开始时刻</t>
  </si>
  <si>
    <t>Now</t>
  </si>
  <si>
    <t>取得当前时刻</t>
  </si>
  <si>
    <t>当前时间</t>
  </si>
  <si>
    <t>ParseDate</t>
  </si>
  <si>
    <t>返回将字符串以指定格式转换的日期。</t>
  </si>
  <si>
    <t>将字符串转换为日期的结果</t>
  </si>
  <si>
    <t>字符串;字符串</t>
  </si>
  <si>
    <t>转换的字符串;指定格式的字符串</t>
  </si>
  <si>
    <t>'25/01/23';'yy/MM/dd'</t>
  </si>
  <si>
    <t>ParseTimespan</t>
  </si>
  <si>
    <t>返回将字符串以指定格式转换的时间。</t>
  </si>
  <si>
    <t>时间</t>
  </si>
  <si>
    <t>将字符串转换为时间的结果</t>
  </si>
  <si>
    <t>'12:34';'HH:mm'</t>
  </si>
  <si>
    <t>ConvertTime</t>
  </si>
  <si>
    <t>转换为所指定时间单位的实数。</t>
  </si>
  <si>
    <t>实数</t>
  </si>
  <si>
    <t>转换出来的时间的数字</t>
  </si>
  <si>
    <t>时间间隔;字符串</t>
  </si>
  <si>
    <t>要转换的时间;转换单位（m,M,h,H,d,D)。如果是小写字母就舍去，如果是大写字母就进位。m是分、h是小时、d是天。</t>
  </si>
  <si>
    <t>1.6H;'H'</t>
    <phoneticPr fontId="2" type="noConversion"/>
  </si>
  <si>
    <t>(x+1)个月之后当月的开始时刻1秒之前( 例: EndOfNextWeek(2023/01/01 16:00, 1) -&gt; 2023/03/01 7:59 )</t>
    <phoneticPr fontId="1" type="noConversion"/>
  </si>
  <si>
    <t>日期时间转换类7个</t>
    <phoneticPr fontId="1" type="noConversion"/>
  </si>
  <si>
    <t>Left</t>
  </si>
  <si>
    <t>取得指定长度（从左侧算起）的字符串、与MS VisualBasic 的Left函数相同</t>
  </si>
  <si>
    <t>字符串</t>
  </si>
  <si>
    <t>取得的结果字符串</t>
  </si>
  <si>
    <t>字符串;整数</t>
  </si>
  <si>
    <t>目标字符串;要取得的字符串长度</t>
  </si>
  <si>
    <t>'ABCDE';2</t>
  </si>
  <si>
    <t>LeftB</t>
  </si>
  <si>
    <t>用字节数指定长度切掉字符串左侧部分的字符串。由于多个字节中途不切断，如果第３个参量为０就切去最左面的字节的字符，为１则由于不中途切断最左面的字符而追加必要的字节部分。</t>
  </si>
  <si>
    <t>切掉的字符串</t>
  </si>
  <si>
    <t>字符串;整数;整数</t>
  </si>
  <si>
    <t>对象的字符串;切掉字符串的字节数;设定增加或切掉</t>
  </si>
  <si>
    <t>'ABCDE';2;0</t>
  </si>
  <si>
    <t>Mid</t>
  </si>
  <si>
    <t>指定开始位置和长度取得子字符串，与MS VisualBasic的Mid函数相同</t>
  </si>
  <si>
    <t>对象字符串;开始位置、以1开始;要取得的字符串长度、-1表示指定位置的右侧字符串。</t>
  </si>
  <si>
    <t>'ABCDE';2;3</t>
  </si>
  <si>
    <t>Right</t>
  </si>
  <si>
    <t>取得指定长度（从右侧算起）的字符串、与MS VisualBasic 的Right函数相同</t>
  </si>
  <si>
    <t>RightB</t>
  </si>
  <si>
    <t>用字节数指定长度切掉字符串右侧部分的字符串。由于多个字节中途不切断，如果第３个参量为０就切去最右面的字节的字符，为１则由于不中途切断最右面的字符而追加必要的字节部分。</t>
  </si>
  <si>
    <t>字符串截取类5个</t>
    <phoneticPr fontId="1" type="noConversion"/>
  </si>
  <si>
    <t>字符串长度计算类2个</t>
    <phoneticPr fontId="1" type="noConversion"/>
  </si>
  <si>
    <t>Len</t>
  </si>
  <si>
    <t>取得字符串长度、与MS VisualBasic 的Len 函数相同</t>
  </si>
  <si>
    <t>字符串长度</t>
  </si>
  <si>
    <t>目标字符串</t>
  </si>
  <si>
    <t>'ABCDE'</t>
  </si>
  <si>
    <t>LenB</t>
  </si>
  <si>
    <t>取得字符串的字节数。使用方法与 MS VisualBasic 的LenB 函数相同。</t>
  </si>
  <si>
    <t>字符串的长度</t>
  </si>
  <si>
    <t>对象的字符串</t>
  </si>
  <si>
    <t>Lower</t>
  </si>
  <si>
    <t>将字符串转换为小写。</t>
  </si>
  <si>
    <t>转换为小写后的字符串</t>
  </si>
  <si>
    <t>Upper</t>
  </si>
  <si>
    <t>将字符串转换为大写。</t>
  </si>
  <si>
    <t>转换为大写后的字符串</t>
  </si>
  <si>
    <t>'abcde'</t>
  </si>
  <si>
    <t>DisplayStr</t>
  </si>
  <si>
    <t>如果所指定的属性里设定了显示表达式，那么返回运行显示表达式的结果。</t>
  </si>
  <si>
    <t>返回运行显示表达式的结果。</t>
  </si>
  <si>
    <t>不带符号整数</t>
    <phoneticPr fontId="2" type="noConversion"/>
  </si>
  <si>
    <t>要运行表示表达式的属性</t>
  </si>
  <si>
    <t>Me.Order.Qty</t>
  </si>
  <si>
    <t>Format</t>
  </si>
  <si>
    <t>取得格式化字符串、可以格式化日期、数值等。与MS VisualBasic的Format函数相同</t>
  </si>
  <si>
    <t>格式化的字符串</t>
  </si>
  <si>
    <t>属性;字符串</t>
  </si>
  <si>
    <t>值;格式字符串</t>
  </si>
  <si>
    <t>1.234;'#0.00'</t>
  </si>
  <si>
    <t>ExpressionStr</t>
  </si>
  <si>
    <t>返回给与的属性的虚拟属性表达式。</t>
  </si>
  <si>
    <t>表达式的字符串</t>
  </si>
  <si>
    <t>不带符号整数;整数</t>
  </si>
  <si>
    <t>作为取得表达式的对象的属性;未使用</t>
  </si>
  <si>
    <t>ME.VirtualPropertyExpression;0</t>
  </si>
  <si>
    <t>GenStrSerialNum</t>
  </si>
  <si>
    <t>指定位数和数值而取得序列号（不足位用0填补）的字符串</t>
  </si>
  <si>
    <t>用零补位序列号的字符串</t>
  </si>
  <si>
    <t>实数;实数</t>
  </si>
  <si>
    <t>序列号;位数</t>
  </si>
  <si>
    <t>123;4</t>
  </si>
  <si>
    <t>Find</t>
  </si>
  <si>
    <t>检索指定字符串，如果含有该字符串就返回TRUE,否则返回FALSE。</t>
  </si>
  <si>
    <t>布尔</t>
  </si>
  <si>
    <t>存在就TRUE</t>
  </si>
  <si>
    <t>目标字符串;检索字符串</t>
  </si>
  <si>
    <t>'ABCDE';'BC'</t>
  </si>
  <si>
    <t>FindNumberL</t>
  </si>
  <si>
    <t>从字符串的左侧开始搜索第ｎ个数字。</t>
  </si>
  <si>
    <t>要搜索的字符串;第ｎ个数字</t>
  </si>
  <si>
    <t>'10个';1</t>
  </si>
  <si>
    <t>FindNumberR</t>
  </si>
  <si>
    <t>从字符串的右侧开始搜索第ｎ个数字。</t>
  </si>
  <si>
    <t>'2月5日';1</t>
  </si>
  <si>
    <t>StrStr</t>
  </si>
  <si>
    <t>检索指定的字符串并返回开始位置，从头检索。</t>
  </si>
  <si>
    <t>指定字符串所含位置</t>
  </si>
  <si>
    <t>字符串查找类4个</t>
    <phoneticPr fontId="1" type="noConversion"/>
  </si>
  <si>
    <t>字符串替换类2个</t>
    <phoneticPr fontId="1" type="noConversion"/>
  </si>
  <si>
    <t>Replace</t>
  </si>
  <si>
    <t>替换字符串(指定范围)。</t>
  </si>
  <si>
    <t>替换后的字符串</t>
  </si>
  <si>
    <t>字符串;整数;整数;字符串</t>
  </si>
  <si>
    <t>原字符串;替换字符串的位置;替换字符串的长度;替换字符串</t>
  </si>
  <si>
    <t>'abcabc';1;1;'xy'</t>
  </si>
  <si>
    <t>Substitute</t>
  </si>
  <si>
    <t>替换字符串(指定字符串及索引)。</t>
  </si>
  <si>
    <t>字符串;字符串;字符串;整数</t>
  </si>
  <si>
    <t>原字符串;查找字符串;替换字符串;要替换的字符串的位置。正数：从左数第几个；负数：从右数第几个；0：全部替换</t>
  </si>
  <si>
    <t>'abcabc';'ab';'xy';1</t>
  </si>
  <si>
    <t>Abs</t>
  </si>
  <si>
    <t>绝对值函数</t>
  </si>
  <si>
    <t>负值变为正值</t>
  </si>
  <si>
    <t>绝对值函数的参数</t>
  </si>
  <si>
    <t>Cos</t>
  </si>
  <si>
    <t>cos(x)</t>
  </si>
  <si>
    <t>返回con值</t>
  </si>
  <si>
    <t>cos函数的参数</t>
    <phoneticPr fontId="2" type="noConversion"/>
  </si>
  <si>
    <t>Sin</t>
  </si>
  <si>
    <t>sin(x)</t>
  </si>
  <si>
    <t>返回sin值</t>
  </si>
  <si>
    <t>sin函数的参数</t>
  </si>
  <si>
    <t>Tan</t>
  </si>
  <si>
    <t>tan(x)</t>
  </si>
  <si>
    <t>返回tan值</t>
  </si>
  <si>
    <t>tan函数的参数</t>
  </si>
  <si>
    <t>Log</t>
  </si>
  <si>
    <t>Log函数(底数=10)</t>
    <phoneticPr fontId="2" type="noConversion"/>
  </si>
  <si>
    <t>返回以10为底数的对数</t>
  </si>
  <si>
    <t>Log函数的参数</t>
  </si>
  <si>
    <t>Ln</t>
  </si>
  <si>
    <t>Log函数(底数=e)</t>
  </si>
  <si>
    <t>返回参数的自然对数</t>
  </si>
  <si>
    <t>log函数的参数</t>
  </si>
  <si>
    <t>Sqrt</t>
  </si>
  <si>
    <t>平方根函数</t>
  </si>
  <si>
    <t>返回平方根值</t>
  </si>
  <si>
    <t>平方根函数的参数</t>
  </si>
  <si>
    <t>Power</t>
  </si>
  <si>
    <t>二次幂函数(x的平方)</t>
  </si>
  <si>
    <t>返回平方值</t>
  </si>
  <si>
    <t>二次幂函数的参数;二次幂函数的参数</t>
  </si>
  <si>
    <t>2;3</t>
  </si>
  <si>
    <t>Round</t>
  </si>
  <si>
    <t>保留指定小数位数尾数四舍五入</t>
  </si>
  <si>
    <t>四舍五入的结果</t>
  </si>
  <si>
    <t>实数;整数</t>
  </si>
  <si>
    <t>目标参数;小数保留位数</t>
  </si>
  <si>
    <t>1.555;0</t>
  </si>
  <si>
    <t>Roundup</t>
  </si>
  <si>
    <t>保留指定小数位数（尾数大于0则在末位加1）</t>
  </si>
  <si>
    <t>Truncate</t>
  </si>
  <si>
    <t>保留指定位数的小数（尾数舍去）</t>
  </si>
  <si>
    <t>舍去后结果</t>
  </si>
  <si>
    <t>目标实数;指定位数</t>
  </si>
  <si>
    <t>MaxValue</t>
  </si>
  <si>
    <t>返回两个值中较大的值。</t>
  </si>
  <si>
    <t>两个值中较大的值。</t>
  </si>
  <si>
    <t>用来比较的第一个值;用来比较的第二个值</t>
  </si>
  <si>
    <t>1.2;3.4</t>
  </si>
  <si>
    <t>MinValue</t>
  </si>
  <si>
    <t>返回两个值中较小的值。</t>
  </si>
  <si>
    <t>两个值中较小的值。</t>
  </si>
  <si>
    <t>NormalizeAscend</t>
  </si>
  <si>
    <t>x / ( x + 1.0 )</t>
  </si>
  <si>
    <t>正规化(x=0则y=0、x＝±∞则y趋于1)</t>
  </si>
  <si>
    <t>x / ( x + 1.0 ) 的 x</t>
  </si>
  <si>
    <t>NormalizeDescend</t>
  </si>
  <si>
    <t>1.0 / ( x + 1.0 )</t>
  </si>
  <si>
    <t>正规化(x=0则y=1、x＝±∞则y趋于0)</t>
  </si>
  <si>
    <t>1.0 / ( x + 1.0 ) 的 x</t>
  </si>
  <si>
    <t>数学函数类15个</t>
    <phoneticPr fontId="1" type="noConversion"/>
  </si>
  <si>
    <t>用于获取对象的定义、名称、属性值，或批量设置属性</t>
  </si>
  <si>
    <t>GetObjectName</t>
  </si>
  <si>
    <t>返回指定对象的名称，按照别名-〉显示名-〉名称顺序检索有效的值并返回它。</t>
  </si>
  <si>
    <t>对象名称</t>
  </si>
  <si>
    <t>对象</t>
  </si>
  <si>
    <t>要取得名称的对象</t>
  </si>
  <si>
    <t>Me</t>
  </si>
  <si>
    <t>GetClassDef</t>
  </si>
  <si>
    <t>从类定义代码取得类定义对象。</t>
  </si>
  <si>
    <t>类定义对象</t>
  </si>
  <si>
    <t>类定义代码</t>
  </si>
  <si>
    <t>'Order'</t>
  </si>
  <si>
    <t>从类ID取得类定义对象。</t>
  </si>
  <si>
    <t>类ID</t>
  </si>
  <si>
    <t>GetPropertyDef</t>
  </si>
  <si>
    <t>从属性ID取得属性定义对象。</t>
  </si>
  <si>
    <t>属性定义对象</t>
  </si>
  <si>
    <t>属性ID</t>
  </si>
  <si>
    <t>GetEnumName</t>
  </si>
  <si>
    <t>返回给与的枚举字符串。显示名→代码→值的顺序来检索，把找到的东西返回。</t>
  </si>
  <si>
    <t>枚举的字符串</t>
  </si>
  <si>
    <t>作为执行表达式的对象的属性(枚举)</t>
  </si>
  <si>
    <t>ME.Order.Type</t>
  </si>
  <si>
    <t>PropCount</t>
  </si>
  <si>
    <t>计算给定属性的元素个数</t>
  </si>
  <si>
    <t>给定属性的要素个数</t>
  </si>
  <si>
    <t>不带符号整数</t>
  </si>
  <si>
    <t>取得属性值的属性名</t>
  </si>
  <si>
    <t>Me.Child</t>
  </si>
  <si>
    <t>SetProps</t>
  </si>
  <si>
    <t>为指定的数组中的对象设置属性。</t>
  </si>
  <si>
    <t>属性正常设置时返回TRUE</t>
  </si>
  <si>
    <t>对象;表达式</t>
  </si>
  <si>
    <t>对象的数组;赋值表达式</t>
  </si>
  <si>
    <t>ME.LeftRecursiveOrder;TARGET.Qty=50</t>
  </si>
  <si>
    <t>SetPropsIF</t>
  </si>
  <si>
    <t>为指定的数组中满足条件的对象设置属性。</t>
  </si>
  <si>
    <t>对象;表达式;表达式</t>
  </si>
  <si>
    <t>对象的数组;筛选表达式;赋值表达式</t>
  </si>
  <si>
    <t>ME.LeftRecursiveOrder;TARGET.IsReplenishmentOrder=='1';TARGET.Qty=50</t>
  </si>
  <si>
    <t>GetApplicableNumSpec</t>
  </si>
  <si>
    <t>返回适用于工作的数值规格。如果订单里有数值规格就返回它，否则返回品目的数值规格。</t>
  </si>
  <si>
    <t>适用于工作的数值规格。</t>
  </si>
  <si>
    <t>整数;对象</t>
  </si>
  <si>
    <t>数值规格＃;工作</t>
  </si>
  <si>
    <t>1;Me.Operation</t>
  </si>
  <si>
    <t>GetApplicableSpec</t>
  </si>
  <si>
    <t>返回适用于工作的规格。如果订单里有规格就返回它，否则返回品目的规格。</t>
  </si>
  <si>
    <t>适用于工作的规格。</t>
  </si>
  <si>
    <t>规格＃;工作</t>
  </si>
  <si>
    <t>GetRootChildListString</t>
  </si>
  <si>
    <t>取得根对象的所有子对象</t>
  </si>
  <si>
    <t>用逗号分隔子对象的字符串</t>
  </si>
  <si>
    <t>Equal</t>
  </si>
  <si>
    <t>比较属性。品目类的关联有效条件表达式的专用函数</t>
  </si>
  <si>
    <t>相等返回TRUE、不然返回FALSE</t>
  </si>
  <si>
    <t>属性</t>
  </si>
  <si>
    <t>要比较的属性</t>
  </si>
  <si>
    <t>Me.Order.Customer</t>
  </si>
  <si>
    <t>Exist</t>
  </si>
  <si>
    <t>测试属性是否有效，或是否有值。但是不考虑缺省值。</t>
  </si>
  <si>
    <t>属性存在且有效的话返回TRUE，否则返回FALSE。</t>
  </si>
  <si>
    <t>测试的属性名</t>
  </si>
  <si>
    <t>测试属性是否有效，或是否有值。可在第二个参数处指定是否考虑缺省值。</t>
  </si>
  <si>
    <t>属性;布尔</t>
  </si>
  <si>
    <t>测试的属性名;是否考虑缺省值</t>
  </si>
  <si>
    <t>Me.Child;FALSE</t>
  </si>
  <si>
    <t>ExistIF</t>
  </si>
  <si>
    <t>测试在列表中是否存在满足筛选条件的对象。</t>
  </si>
  <si>
    <t>存在满足条件的对象的话返回TRUE，否则返回FALSE。</t>
  </si>
  <si>
    <t>类名或者对象类型的属性;筛选条件式</t>
  </si>
  <si>
    <t>'Order';Target.Qty &gt; 50</t>
  </si>
  <si>
    <t>FValid</t>
  </si>
  <si>
    <t>测试属性的有效性或者是否存在值</t>
  </si>
  <si>
    <t>属性存在且有效就返回TRUE，否则返回FALSE</t>
  </si>
  <si>
    <t>测试对对象的属性名</t>
  </si>
  <si>
    <t>Me.Child[1]</t>
  </si>
  <si>
    <t>对象与属性获取类5个</t>
    <phoneticPr fontId="1" type="noConversion"/>
  </si>
  <si>
    <t>对象与属性操作类11个</t>
    <phoneticPr fontId="1" type="noConversion"/>
  </si>
  <si>
    <t>CountIF</t>
  </si>
  <si>
    <t>返回列表中符合筛选条件的对象的个数。</t>
  </si>
  <si>
    <t>满足条件的元素个数</t>
  </si>
  <si>
    <t>类名或者对象类型的属性的字符串;列表的筛选表达式</t>
  </si>
  <si>
    <t>Sum</t>
  </si>
  <si>
    <t>返回列表中对象的所指定属性值的合计</t>
  </si>
  <si>
    <t>对象属性值的合计</t>
  </si>
  <si>
    <t>类名或者对象类型的属性的字符串;对象属性</t>
  </si>
  <si>
    <t>'Order';Target.Qty</t>
  </si>
  <si>
    <t>SumIF</t>
  </si>
  <si>
    <t>返回在列表中筛选后对象的指定属性值的合计</t>
  </si>
  <si>
    <t>字符串;字符串;字符串</t>
  </si>
  <si>
    <t>类名或者对象类型的属性的字符串;列表的筛选表达式;对象属性</t>
  </si>
  <si>
    <t>'Order';Target.Qty &gt; 50;Target.Qty</t>
  </si>
  <si>
    <t>Max</t>
  </si>
  <si>
    <t>返回在列表中筛选后的对象中，所指定属性值的最大值。</t>
  </si>
  <si>
    <t>对象属性值的最大值</t>
  </si>
  <si>
    <t>MaxIF</t>
  </si>
  <si>
    <t>MaxObject</t>
  </si>
  <si>
    <t>返回在列表中拥有最大指定属性值的对象。</t>
  </si>
  <si>
    <t>列表中拥有最大指定属性值的对象。</t>
  </si>
  <si>
    <t>MaxObjectIF</t>
  </si>
  <si>
    <t>返回在列表中筛选后的对象中，拥有最大指定属性值的对象。</t>
  </si>
  <si>
    <t>列表中筛选后的对象中，拥有最大指定属性值的对象。</t>
  </si>
  <si>
    <t>Product</t>
  </si>
  <si>
    <t>返回列表中所有对象的指定属性的乘积结果。</t>
  </si>
  <si>
    <t>指定属性的合计结果</t>
  </si>
  <si>
    <t>用字符串来描述的类名或者对象类型的属性;对象属性</t>
  </si>
  <si>
    <t>ProductIF</t>
  </si>
  <si>
    <t>返回列表中满足筛选条件的对象的指定属性的乘积结果。</t>
  </si>
  <si>
    <t>字符串;字符串;字符串</t>
    <phoneticPr fontId="2" type="noConversion"/>
  </si>
  <si>
    <t>用字符串来描述的类名或者对象类型的属性;列表的筛选表达式;对象属性</t>
    <phoneticPr fontId="2" type="noConversion"/>
  </si>
  <si>
    <t>Order';Target.Qty &gt; 50;Target.Qty</t>
    <phoneticPr fontId="2" type="noConversion"/>
  </si>
  <si>
    <t>ObjectList</t>
  </si>
  <si>
    <t>返回列表中元素的对象类型属性值的数组。</t>
  </si>
  <si>
    <t>取得的数组</t>
  </si>
  <si>
    <t>'Order';Target</t>
  </si>
  <si>
    <t>ObjectListIF</t>
  </si>
  <si>
    <t>返回列表中满足筛选条件的元素的对象类型属性值的数组。</t>
  </si>
  <si>
    <t>'Order';Target.Qty &gt; 50;Target</t>
  </si>
  <si>
    <t>对一组对象或值进行求和、计数、排序等操作。</t>
  </si>
  <si>
    <t>Sort</t>
  </si>
  <si>
    <t>返回将对象类型数组的元素按指定键排序后的数组。</t>
  </si>
  <si>
    <t>排序后的数组</t>
  </si>
  <si>
    <t>字符串;字符串;布尔</t>
  </si>
  <si>
    <t>类名或者对象类型的属性的字符串;决定顺序的属性;是否为升序</t>
  </si>
  <si>
    <t>'Order';Target.Qty;TRUE</t>
  </si>
  <si>
    <t>Unique</t>
  </si>
  <si>
    <t>返回去掉对象类型数组中重复元素后的数组。</t>
  </si>
  <si>
    <t>去掉重复元素后的数组</t>
  </si>
  <si>
    <t>类名或者对象类型的属性的字符串</t>
  </si>
  <si>
    <t>ObjectList(ME.ProductionTask.InputInstructions,Target.Item)</t>
  </si>
  <si>
    <t>聚合与列表处理类13个</t>
    <phoneticPr fontId="1" type="noConversion"/>
  </si>
  <si>
    <t>IsModuleType</t>
  </si>
  <si>
    <t>内部使用。获取是否是所指定的模组</t>
  </si>
  <si>
    <t>如果是所指定的模组的话TRUE</t>
  </si>
  <si>
    <t>模组类型</t>
  </si>
  <si>
    <t>IsOptionalFeatureEnabled</t>
  </si>
  <si>
    <t>内部使用。检测指定功能的有效性</t>
  </si>
  <si>
    <t>可选功能</t>
  </si>
  <si>
    <t>IsSerialNumberActivatedFeatureEnabled</t>
  </si>
  <si>
    <t>内部使用。取得指定功能的有效性</t>
  </si>
  <si>
    <t>机能</t>
  </si>
  <si>
    <t>IsVersionDependentFeatureEnabled</t>
  </si>
  <si>
    <t>内部使用。检测指定功能是否有效于该版本</t>
  </si>
  <si>
    <t>版本限制功能</t>
  </si>
  <si>
    <t>CurrencyFormat</t>
  </si>
  <si>
    <t>把参数值转换成在工作空间所指定的金额格式。金额格式转换认为设置了字符串结果的表达式。如果没有设置金额格式，那么直接把表达式的结果转换为字符串。</t>
    <phoneticPr fontId="2" type="noConversion"/>
  </si>
  <si>
    <t>返回金额格式表达式运行的结果字符串。</t>
  </si>
  <si>
    <t>用金额格式表达式来要转换的值。</t>
  </si>
  <si>
    <t>INPUT</t>
  </si>
  <si>
    <t>字符串转换类7个</t>
    <phoneticPr fontId="1" type="noConversion"/>
  </si>
  <si>
    <t>RGB</t>
  </si>
  <si>
    <t>把RGB格式转换为颜色型属性</t>
  </si>
  <si>
    <t>颜色</t>
  </si>
  <si>
    <t>颜色型属性</t>
  </si>
  <si>
    <t>RGB红色;RGB绿色;RGB蓝色</t>
  </si>
  <si>
    <t>255;255;255</t>
  </si>
  <si>
    <t>系统与环境判断类5个</t>
    <phoneticPr fontId="1" type="noConversion"/>
  </si>
  <si>
    <t>CalcDeliveryCost</t>
  </si>
  <si>
    <t>计算运费。在Asprova SCP中使用。</t>
  </si>
  <si>
    <t>运费</t>
  </si>
  <si>
    <t>作为计算对象的工作</t>
  </si>
  <si>
    <t>ME</t>
  </si>
  <si>
    <t>CalcInventory</t>
  </si>
  <si>
    <t>返回所指定品目的某时刻的库存数量</t>
  </si>
  <si>
    <t>所指定品目的某时刻的库存数量</t>
  </si>
  <si>
    <t>对象;日期</t>
  </si>
  <si>
    <t>品目;时刻</t>
  </si>
  <si>
    <t>Me.Item;#2023/10/15 00:00:00#</t>
  </si>
  <si>
    <t>CalcInventoryReachDate</t>
  </si>
  <si>
    <t>将品目的指定日期之后的库存变化作为对象，返回库存变化刚好满足指定条件的日期</t>
  </si>
  <si>
    <t>时刻</t>
    <phoneticPr fontId="2" type="noConversion"/>
  </si>
  <si>
    <t>所指定品目的库存刚好变为指定数量的日期</t>
  </si>
  <si>
    <t>对象;整数;字符串;日期</t>
  </si>
  <si>
    <t>品目;数量;运算符('=','&gt;=','&gt;','&lt;=','&lt;');开始时刻</t>
  </si>
  <si>
    <t>Me.Item;100;'&gt;=';#2023/1/1#</t>
  </si>
  <si>
    <t>运费与库存计算类3个</t>
    <phoneticPr fontId="1" type="noConversion"/>
  </si>
  <si>
    <t>CalcProductionTime</t>
  </si>
  <si>
    <t>返回在资源resource上的开始时刻start和结束时刻end之间开始的制造时间的总和。</t>
    <phoneticPr fontId="2" type="noConversion"/>
  </si>
  <si>
    <t>时间间隔</t>
  </si>
  <si>
    <t>制造时间总和</t>
  </si>
  <si>
    <t>对象;日期;日期</t>
  </si>
  <si>
    <t>要计算的资源;要计算的时间范围的开始时刻;要计算的时间范围的结束时刻</t>
  </si>
  <si>
    <t>ME;#2023/01/01 00:00:00#;#2023/01/01 00:00:00#</t>
  </si>
  <si>
    <t>CalcRemainingProductionTime</t>
  </si>
  <si>
    <t>返回后工序工作的制造时间（剩余制造时间）的总和</t>
  </si>
  <si>
    <t>后工序工作的制造时间（剩余制造时间）的总和</t>
  </si>
  <si>
    <t>工作</t>
  </si>
  <si>
    <t>Me.Operation</t>
  </si>
  <si>
    <t>CalcRemainingTime</t>
  </si>
  <si>
    <t>返回前工序的最晚结束工作的结束时刻开始到交货期的时间(剩余时间)</t>
  </si>
  <si>
    <t>前工序的最晚结束工作的结束时刻开始到交货期的时间(剩余时间)</t>
  </si>
  <si>
    <t>CalcSetupTime</t>
  </si>
  <si>
    <t>返回在资源resource上的开始时刻start和结束时刻end之间开始的前设置时间的总和。</t>
  </si>
  <si>
    <t>前设置时间总和</t>
  </si>
  <si>
    <t>CalcTeardownTime</t>
  </si>
  <si>
    <t>返回在资源resource上的开始时刻start和结束时刻end之间开始的后设置时间的总和。</t>
  </si>
  <si>
    <t>后设置时间总和</t>
  </si>
  <si>
    <t>CheckAllContents_And</t>
  </si>
  <si>
    <t>测试属性所有值的逻辑与(单/多个)。</t>
  </si>
  <si>
    <t>返回AND运算结果“真”/“假”。</t>
  </si>
  <si>
    <t>整数;字符串;属性</t>
  </si>
  <si>
    <t>测试对对象的属性名;测试条件( ==, !=, &gt;, &gt;=, &lt;,&lt;= );属性值与给定值的比较值</t>
    <phoneticPr fontId="2" type="noConversion"/>
  </si>
  <si>
    <t>Me.Comment;'==';'ABC'</t>
    <phoneticPr fontId="2" type="noConversion"/>
  </si>
  <si>
    <t>CheckAllContents_Or</t>
  </si>
  <si>
    <t>测试属性所有值的逻辑或(单/多个)。</t>
  </si>
  <si>
    <t>返回OR运算结果“真”/“假”。</t>
  </si>
  <si>
    <t>测试对对象的属性名;测试条件( ==, !=, &gt;, &gt;=, &lt;,&lt;= );属性值与给定值的比较值</t>
  </si>
  <si>
    <t>逻辑函数类2个</t>
    <phoneticPr fontId="1" type="noConversion"/>
  </si>
  <si>
    <t>CalcOrderLeeway</t>
  </si>
  <si>
    <t>（剩余制造时间 - 剩余时间）/ 剩余时间</t>
  </si>
  <si>
    <t>针对于交货期的工作的余裕时间。</t>
  </si>
  <si>
    <t>对象</t>
    <phoneticPr fontId="2" type="noConversion"/>
  </si>
  <si>
    <t>工作</t>
    <phoneticPr fontId="2" type="noConversion"/>
  </si>
  <si>
    <t>ResourceLoad</t>
  </si>
  <si>
    <t>返回资源中从开始时刻到结束时刻之间的负荷率。</t>
  </si>
  <si>
    <t>没有工作为1,负荷为100%则返回0。</t>
  </si>
  <si>
    <t>资源;计算开始时刻;计算结束时刻</t>
  </si>
  <si>
    <t>Me.Resource;#2023/10/1#;#2023/11/1#</t>
  </si>
  <si>
    <t>返回资源中从开始时刻开始指定时间范围内的负荷率。</t>
  </si>
  <si>
    <t>返回指定时间段内满足条件的工作使用指令的资源负荷率。</t>
  </si>
  <si>
    <t>对象;日期;时间间隔</t>
  </si>
  <si>
    <t>资源;计算开始时刻;到计算结束时刻为止的时间</t>
    <phoneticPr fontId="2" type="noConversion"/>
  </si>
  <si>
    <t>Me.Resource;#2023/10/1#;1h</t>
    <phoneticPr fontId="2" type="noConversion"/>
  </si>
  <si>
    <t>ResourceLoadByResourceQtyTime</t>
  </si>
  <si>
    <t>返回资源中满足条件的资源量时间。</t>
  </si>
  <si>
    <t>返回指定时间段内满足条件的工作使用指令的资源量时间（工作时间×资源量）。</t>
  </si>
  <si>
    <t>对象;日期;日期;字符串</t>
  </si>
  <si>
    <t>资源;计算开始时间;计算结束时间;筛选条件</t>
  </si>
  <si>
    <t>Me.Resource;#2023/10/1#;#2023/11/1#;TARGET.UseInst_Work.Work_Type=='P'</t>
  </si>
  <si>
    <t>ResourceLoadIF</t>
  </si>
  <si>
    <t>返回资源中从开始时刻到结束时刻之间满足条件的工作使用指令的负荷率。</t>
  </si>
  <si>
    <t>对象;日期;日期;筛选式</t>
  </si>
  <si>
    <t>返回资源中从开始时刻开始指定时间范围内满足条件的工作使用指令的负荷率。</t>
  </si>
  <si>
    <t>对象;日期;时间间隔;筛选式</t>
  </si>
  <si>
    <t>资源;计算开始时刻;到计算结束时刻为止的时间;筛选条件</t>
    <phoneticPr fontId="2" type="noConversion"/>
  </si>
  <si>
    <t>Me.Resource;#2023/10/1#;1h;TARGET.UseInst_Work.Work_Type=='P'</t>
  </si>
  <si>
    <t>时间/余量计算类7个</t>
    <phoneticPr fontId="1" type="noConversion"/>
  </si>
  <si>
    <t>GetAssignableResource</t>
  </si>
  <si>
    <t>候补资源的列表</t>
  </si>
  <si>
    <t>返回工作的候补资源列表。</t>
    <phoneticPr fontId="1" type="noConversion"/>
  </si>
  <si>
    <t>GetNumCandidateResource</t>
  </si>
  <si>
    <t>返回该工作的候补资源数目。</t>
  </si>
  <si>
    <t>候补资源的数目</t>
  </si>
  <si>
    <t>GetNumProcessToGo</t>
  </si>
  <si>
    <t>返回该工作的后工序数目</t>
  </si>
  <si>
    <t>后工序以后的工序数目</t>
  </si>
  <si>
    <t>GetDispatchingEvalByUseBomCode</t>
  </si>
  <si>
    <t>指使用指令代码，而取得特定资源上工作的分派信息。</t>
  </si>
  <si>
    <t>分派信息对象</t>
  </si>
  <si>
    <t>对象;字符串</t>
  </si>
  <si>
    <t>工作;使用指令代码</t>
  </si>
  <si>
    <t>Me;'M'</t>
  </si>
  <si>
    <t>GetResourceByUseBomCode</t>
  </si>
  <si>
    <t>指定使用指令代码，而取得工作所使用的资源。</t>
  </si>
  <si>
    <t>资源</t>
  </si>
  <si>
    <t>GetPeggedRate</t>
  </si>
  <si>
    <t>返回前工序的输出数量和关联在后工序的数量比</t>
  </si>
  <si>
    <t>关联数量的比率</t>
  </si>
  <si>
    <t>对象;对象</t>
  </si>
  <si>
    <t>前工序工作;后工序工作</t>
  </si>
  <si>
    <t>Me.PrevOperation[1];Me</t>
  </si>
  <si>
    <t>工作与工序类6个</t>
    <phoneticPr fontId="1" type="noConversion"/>
  </si>
  <si>
    <t>GetCalendar</t>
  </si>
  <si>
    <t>返回指定资源的指定日期的每日工作时间的生产日历对象。</t>
  </si>
  <si>
    <t>生产日历</t>
  </si>
  <si>
    <t>资源;指定日期</t>
  </si>
  <si>
    <t>Me.Resource;#2023/1/1 10:00:00#</t>
  </si>
  <si>
    <t>GetOverwriteCalendar</t>
  </si>
  <si>
    <t>返回指定资源的指定日期的覆盖日历。如果有多个覆盖日历，则返回显示顺序最大且无效标志不为否的那一个。</t>
  </si>
  <si>
    <t>覆盖日历</t>
  </si>
  <si>
    <t>Me.Resource;#2025/1/1 10:00:00#</t>
  </si>
  <si>
    <t>GetShiftList</t>
  </si>
  <si>
    <t>返回指定资源的指定日期的稼动时间的出勤模式对象的数组。可在第3、4参数决定是否包含端点。</t>
  </si>
  <si>
    <t>出勤模式的数组</t>
  </si>
  <si>
    <t>对象;日期;整数;整数</t>
  </si>
  <si>
    <t>资源;指定日期;指定日期为出勤模式的开始时刻时：[0]不包含[1]包含;指定日期为出勤模式的结束时刻时：[0]不包含[1]包含</t>
  </si>
  <si>
    <t>Me.Resource;#2023/1/1 10:00:00#;1;1</t>
  </si>
  <si>
    <t>GetWorkingDays</t>
  </si>
  <si>
    <t>返回所指定资源在某时间段的稼动时间的个数。</t>
  </si>
  <si>
    <t>指定资源在某时间段的稼动时间个数</t>
  </si>
  <si>
    <t>日期;日期;对象;时间间隔</t>
  </si>
  <si>
    <t>时间段的开始时刻;时间段的结束时刻;对象资源;一天的最短稼动时间</t>
  </si>
  <si>
    <t>#2023/10/01 00:00:00#;#2023/10/15 00:00:00#;Me.OperationMainRes;6H</t>
  </si>
  <si>
    <t>返回所指定资源在某时间段的稼动天数。</t>
  </si>
  <si>
    <t>指定资源在某时间段的稼动天数</t>
  </si>
  <si>
    <t>日期;日期;对象;时间间隔;整数</t>
  </si>
  <si>
    <t>时间段的开始时刻;时间段的结束时刻;对象资源;一天的最短稼动时间;1为稼动天数，0为稼动时间的个数</t>
    <phoneticPr fontId="2" type="noConversion"/>
  </si>
  <si>
    <t>#2023/10/01 00:00:00#;#2023/10/15 00:00:00#;Me.OperationMainRes;6H;1</t>
  </si>
  <si>
    <t>GetWorkingTime</t>
  </si>
  <si>
    <t>返回所指定资源在某时间段的稼动时间的总和。</t>
  </si>
  <si>
    <t>资源的特定时间段的稼动时间总和</t>
  </si>
  <si>
    <t>日期;日期;对象</t>
  </si>
  <si>
    <t>时间段的开始时刻;时间段的结束时刻;对象属性</t>
  </si>
  <si>
    <t>#2023/10/01 00:00:00#;#2023/10/15 00:00:00#;Me.OperationMainRes</t>
  </si>
  <si>
    <t>AdvanceAlongResourceWorkingDay</t>
  </si>
  <si>
    <t>返回沿着资源稼动时间过所指定天数之后的时刻。</t>
    <phoneticPr fontId="2" type="noConversion"/>
  </si>
  <si>
    <t>沿着所指定资源的稼动时间，经过所指定天数之后的时刻</t>
  </si>
  <si>
    <t>对象;日期;整数;时间间隔;整数</t>
  </si>
  <si>
    <t>资源;开始时刻;经过的天数(可为负值);将某天作为稼动日判断的最小稼动时间;取得的日期的类型，0的话取得的是当天日境界时刻设定的时刻，1的话取得的是当天稼动时间的开始时刻</t>
    <phoneticPr fontId="2" type="noConversion"/>
  </si>
  <si>
    <t>Me.Resource;#2025/3/2 14:30#;3;0;0</t>
  </si>
  <si>
    <t>AdvanceAlongResourceWorkingTime</t>
  </si>
  <si>
    <t>返回沿着资源稼动时间过所指定时间之后的时刻。</t>
  </si>
  <si>
    <t>沿着所指定资源的稼动时间，经过所指定时间之后的时刻</t>
  </si>
  <si>
    <t>资源;开始时刻;所要经过的时间（允许负值）</t>
  </si>
  <si>
    <t>Me.Resource;#2023/10/5 14:30#;60m</t>
    <phoneticPr fontId="2" type="noConversion"/>
  </si>
  <si>
    <t>GetNearestUseInstOfDiffWork_Left</t>
  </si>
  <si>
    <t>返回在指定资源的时间时序上比指定时刻早的结束时刻最晚的使用指令的数组。</t>
  </si>
  <si>
    <t>使用指令数组</t>
  </si>
  <si>
    <t>对象;日期;对象;整数</t>
  </si>
  <si>
    <t>资源;指定时刻;排除的工作;搜索所有任务的话，设为0；只搜索制造任务的话，设为1</t>
    <phoneticPr fontId="2" type="noConversion"/>
  </si>
  <si>
    <t>ME.Resource;ME.StartTime;ME.Operation;1</t>
  </si>
  <si>
    <t>GetNearestUseInstOfDiffWork_Right</t>
  </si>
  <si>
    <t>返回在指定资源的时间时序上比指定时刻晚的开始时刻最早的使用指令的数组。</t>
  </si>
  <si>
    <t>资源;指定时刻;排除的工作;搜索所有任务的话，设为0；只搜索制造任务的话，设为1</t>
  </si>
  <si>
    <t>ME.Resource;ME.EndTime;ME.Operation;1</t>
  </si>
  <si>
    <t>专门用于查找甘特图上的资源使用记录</t>
  </si>
  <si>
    <t>GetUseInstListByEndTime</t>
  </si>
  <si>
    <t>返回从开始时刻到结束时刻之间结束的工作使用指令的数组。</t>
  </si>
  <si>
    <t>符合条件的使用指令的数组</t>
  </si>
  <si>
    <t>资源;开始时刻;结束时刻</t>
  </si>
  <si>
    <t>Me.Resource;#2023/6/1#;#2023/7/1#</t>
  </si>
  <si>
    <t>返回从开始时刻开始指定时间范围内结束的工作使用指令的数组。</t>
  </si>
  <si>
    <t>资源;开始时刻;到结束时刻为止的时间</t>
  </si>
  <si>
    <t>Me.Resource;#2023/6/1#;5d</t>
  </si>
  <si>
    <t>GetUseInstListByEndTimeIF</t>
  </si>
  <si>
    <t>返回从开始时刻到结束时刻之间结束的满足条件的工作使用指令的数组。</t>
  </si>
  <si>
    <t>资源;开始时刻;结束时刻;筛选条件</t>
  </si>
  <si>
    <t>Me.Resource;#2023/6/1#;#2023/7/1#;TARGET.UseInst_Work.Work_Type=='P'</t>
  </si>
  <si>
    <t>返回从开始时刻开始指定时间范围内结束的满足条件的工作使用指令的数组。</t>
  </si>
  <si>
    <t>资源;开始时刻;到结束时刻为止的时间;筛选条件</t>
  </si>
  <si>
    <t>Me.Resource;#2023/6/1#;5d;TARGET.UseInst_Work.Work_Type=='P'</t>
  </si>
  <si>
    <t>GetUseInstListByStartTime</t>
  </si>
  <si>
    <t>返回从开始时刻到结束时刻之间开始的工作使用指令的数组。</t>
  </si>
  <si>
    <t>返回从开始时刻开始指定时间范围内开始的工作使用指令的数组。</t>
  </si>
  <si>
    <t>GetUseInstListByStartTimeIF</t>
  </si>
  <si>
    <t>返回从开始时刻到结束时刻之间开始的满足条件的工作使用指令的数组。</t>
  </si>
  <si>
    <t>返回从开始时刻开始指定时间范围内开始的满足条件的工作使用指令的数组。</t>
  </si>
  <si>
    <t>GetUseInstListOverlappingPeriod</t>
  </si>
  <si>
    <t>返回与从开始时刻到结束时刻之间有交集的工作使用指令的数组。</t>
  </si>
  <si>
    <t>返回与从开始时刻开始指定时间范围内有交集的工作使用指令的数组。</t>
  </si>
  <si>
    <t>资源;开始时刻;到结束时刻为止的时间</t>
    <phoneticPr fontId="2" type="noConversion"/>
  </si>
  <si>
    <t>GetUseInstListOverlappingPeriodIF</t>
  </si>
  <si>
    <t>返回与从开始时刻到结束时刻之间有交集的满足条件的工作使用指令的数组。</t>
  </si>
  <si>
    <t>返回与从开始时刻开始指定时间范围内有交集的满足条件的工作使用指令的数组。</t>
  </si>
  <si>
    <t>工作日与日历逻辑类8个</t>
    <phoneticPr fontId="1" type="noConversion"/>
  </si>
  <si>
    <t>资源实例检索类14个</t>
    <phoneticPr fontId="1" type="noConversion"/>
  </si>
  <si>
    <t>资源负荷类4个</t>
    <phoneticPr fontId="1" type="noConversion"/>
  </si>
  <si>
    <t>日期时间计算类10个</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</si>
</sst>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9"/>
      <name val="等线"/>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xf numFmtId="0" fontId="0" fillId="0" borderId="0" xfId="0" applyAlignment="1">
      <alignment horizontal="left"/>
    </xf>
    <xf numFmtId="0" fontId="0" fillId="2" borderId="0" xfId="0" applyFill="1">
      <alignment vertical="center"/>
    </xf>
    <xf numFmtId="0" fontId="0" fillId="2" borderId="0" xfId="0" applyFill="1" applyAlignment="1"/>
    <xf numFmtId="0" fontId="0" fillId="0" borderId="0" xfId="0" quotePrefix="1" applyAlignment="1">
      <alignment horizontal="left"/>
    </xf>
    <xf numFmtId="0" fontId="0" fillId="3" borderId="0" xfId="0" applyFill="1">
      <alignment vertical="center"/>
    </xf>
    <xf numFmtId="0" fontId="0" fillId="2" borderId="0" xfId="0" applyFill="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34C4E-4918-4CBE-B740-AB7D7A4C5E67}">
  <dimension ref="A1:L183"/>
  <sheetViews>
    <sheetView tabSelected="1" topLeftCell="E86" workbookViewId="0">
      <selection activeCell="L99" sqref="L99"/>
    </sheetView>
  </sheetViews>
  <sheetFormatPr defaultRowHeight="14" x14ac:dyDescent="0.3"/>
  <cols>
    <col min="1" max="1" width="23.4140625" hidden="1" customWidth="1"/>
    <col min="2" max="2" width="34.33203125" customWidth="1"/>
    <col min="3" max="3" width="83.83203125" customWidth="1"/>
    <col min="4" max="4" width="53.08203125" customWidth="1"/>
    <col min="5" max="5" width="20.75" customWidth="1"/>
    <col min="6" max="6" width="17.58203125" customWidth="1"/>
    <col min="7" max="7" width="15.1640625" customWidth="1"/>
    <col min="9" max="9" width="19.58203125" customWidth="1"/>
    <col min="10" max="10" width="58.83203125" customWidth="1"/>
    <col min="11" max="11" width="45.83203125" customWidth="1"/>
    <col min="12" max="12" width="52.6640625" customWidth="1"/>
    <col min="13" max="15" width="17" customWidth="1"/>
  </cols>
  <sheetData>
    <row r="1" spans="1:12" x14ac:dyDescent="0.3">
      <c r="A1" s="7" t="s">
        <v>12</v>
      </c>
      <c r="B1" s="7"/>
    </row>
    <row r="2" spans="1:12" s="1" customFormat="1" ht="20" customHeight="1" x14ac:dyDescent="0.3">
      <c r="A2" s="1" t="s">
        <v>0</v>
      </c>
      <c r="B2" s="1" t="s">
        <v>1</v>
      </c>
      <c r="C2" s="1" t="s">
        <v>2</v>
      </c>
      <c r="D2" s="1" t="s">
        <v>3</v>
      </c>
      <c r="E2" s="1" t="s">
        <v>4</v>
      </c>
      <c r="F2" s="1" t="s">
        <v>5</v>
      </c>
      <c r="G2" s="1" t="s">
        <v>6</v>
      </c>
      <c r="H2" s="1" t="s">
        <v>7</v>
      </c>
      <c r="I2" s="1" t="s">
        <v>8</v>
      </c>
      <c r="J2" s="1" t="s">
        <v>9</v>
      </c>
      <c r="K2" s="2" t="s">
        <v>10</v>
      </c>
      <c r="L2" s="1" t="s">
        <v>11</v>
      </c>
    </row>
    <row r="3" spans="1:12" s="1" customFormat="1" ht="20" customHeight="1" x14ac:dyDescent="0.3">
      <c r="A3" s="1" t="s">
        <v>20</v>
      </c>
      <c r="B3" s="1" t="str">
        <f t="shared" ref="B3:B4" si="0">A3&amp;"("&amp;I3&amp;")："</f>
        <v>GetYearPart(日期)：</v>
      </c>
      <c r="C3" s="1" t="s">
        <v>21</v>
      </c>
      <c r="D3" s="1" t="str">
        <f t="shared" ref="D3:D4" si="1">E3&amp;"("&amp;F3&amp;")"</f>
        <v>整数(年（例：2023）)</v>
      </c>
      <c r="E3" s="1" t="s">
        <v>15</v>
      </c>
      <c r="F3" s="1" t="s">
        <v>22</v>
      </c>
      <c r="H3" s="1">
        <v>1</v>
      </c>
      <c r="I3" s="1" t="s">
        <v>17</v>
      </c>
      <c r="J3" s="1" t="s">
        <v>18</v>
      </c>
      <c r="K3" s="2" t="s">
        <v>19</v>
      </c>
      <c r="L3" s="1" t="str">
        <f t="shared" ref="L3:L4" si="2">A3&amp;"("&amp;K3&amp;")"</f>
        <v>GetYearPart(#2023/10/5 14:30#)</v>
      </c>
    </row>
    <row r="4" spans="1:12" s="1" customFormat="1" ht="20" customHeight="1" x14ac:dyDescent="0.3">
      <c r="A4" s="1" t="s">
        <v>23</v>
      </c>
      <c r="B4" s="1" t="str">
        <f t="shared" si="0"/>
        <v>GetMonthPart(日期)：</v>
      </c>
      <c r="C4" s="1" t="s">
        <v>24</v>
      </c>
      <c r="D4" s="1" t="str">
        <f t="shared" si="1"/>
        <v>整数(月（1～12）)</v>
      </c>
      <c r="E4" s="1" t="s">
        <v>15</v>
      </c>
      <c r="F4" s="1" t="s">
        <v>25</v>
      </c>
      <c r="H4" s="1">
        <v>1</v>
      </c>
      <c r="I4" s="1" t="s">
        <v>17</v>
      </c>
      <c r="J4" s="1" t="s">
        <v>18</v>
      </c>
      <c r="K4" s="2" t="s">
        <v>19</v>
      </c>
      <c r="L4" s="1" t="str">
        <f t="shared" si="2"/>
        <v>GetMonthPart(#2023/10/5 14:30#)</v>
      </c>
    </row>
    <row r="5" spans="1:12" s="1" customFormat="1" ht="20" customHeight="1" x14ac:dyDescent="0.3">
      <c r="A5" s="1" t="s">
        <v>13</v>
      </c>
      <c r="B5" s="1" t="str">
        <f t="shared" ref="B5:B9" si="3">A5&amp;"("&amp;I5&amp;")："</f>
        <v>GetDayPart(日期)：</v>
      </c>
      <c r="C5" s="1" t="s">
        <v>14</v>
      </c>
      <c r="D5" s="1" t="str">
        <f t="shared" ref="D5:D9" si="4">E5&amp;"("&amp;F5&amp;")"</f>
        <v>整数(日（1～31）)</v>
      </c>
      <c r="E5" s="1" t="s">
        <v>15</v>
      </c>
      <c r="F5" s="1" t="s">
        <v>16</v>
      </c>
      <c r="H5" s="1">
        <v>1</v>
      </c>
      <c r="I5" s="1" t="s">
        <v>17</v>
      </c>
      <c r="J5" s="1" t="s">
        <v>18</v>
      </c>
      <c r="K5" s="2" t="s">
        <v>19</v>
      </c>
      <c r="L5" s="1" t="str">
        <f t="shared" ref="L5:L9" si="5">A5&amp;"("&amp;K5&amp;")"</f>
        <v>GetDayPart(#2023/10/5 14:30#)</v>
      </c>
    </row>
    <row r="6" spans="1:12" s="1" customFormat="1" ht="20" customHeight="1" x14ac:dyDescent="0.3">
      <c r="A6" s="1" t="s">
        <v>26</v>
      </c>
      <c r="B6" s="1" t="str">
        <f t="shared" si="3"/>
        <v>GetHourPart(日期)：</v>
      </c>
      <c r="C6" s="1" t="s">
        <v>27</v>
      </c>
      <c r="D6" s="1" t="str">
        <f t="shared" si="4"/>
        <v>整数(时间(0～23）)</v>
      </c>
      <c r="E6" s="1" t="s">
        <v>15</v>
      </c>
      <c r="F6" s="1" t="s">
        <v>28</v>
      </c>
      <c r="H6" s="1">
        <v>1</v>
      </c>
      <c r="I6" s="1" t="s">
        <v>17</v>
      </c>
      <c r="J6" s="1" t="s">
        <v>18</v>
      </c>
      <c r="K6" s="2" t="s">
        <v>19</v>
      </c>
      <c r="L6" s="1" t="str">
        <f t="shared" si="5"/>
        <v>GetHourPart(#2023/10/5 14:30#)</v>
      </c>
    </row>
    <row r="7" spans="1:12" s="1" customFormat="1" x14ac:dyDescent="0.3">
      <c r="A7" s="1" t="s">
        <v>29</v>
      </c>
      <c r="B7" s="1" t="str">
        <f t="shared" si="3"/>
        <v>GetMinutePart(日期)：</v>
      </c>
      <c r="C7" s="1" t="s">
        <v>30</v>
      </c>
      <c r="D7" s="1" t="str">
        <f t="shared" si="4"/>
        <v>整数(分(0～59）)</v>
      </c>
      <c r="E7" s="1" t="s">
        <v>15</v>
      </c>
      <c r="F7" s="1" t="s">
        <v>31</v>
      </c>
      <c r="H7" s="1">
        <v>1</v>
      </c>
      <c r="I7" s="1" t="s">
        <v>17</v>
      </c>
      <c r="J7" s="1" t="s">
        <v>32</v>
      </c>
      <c r="K7" s="2" t="s">
        <v>19</v>
      </c>
      <c r="L7" s="1" t="str">
        <f t="shared" si="5"/>
        <v>GetMinutePart(#2023/10/5 14:30#)</v>
      </c>
    </row>
    <row r="8" spans="1:12" s="1" customFormat="1" ht="20" customHeight="1" x14ac:dyDescent="0.3">
      <c r="A8" s="1" t="s">
        <v>33</v>
      </c>
      <c r="B8" s="1" t="str">
        <f t="shared" si="3"/>
        <v>GetSecondPart(日期)：</v>
      </c>
      <c r="C8" s="1" t="s">
        <v>34</v>
      </c>
      <c r="D8" s="1" t="str">
        <f t="shared" si="4"/>
        <v>整数(秒(0～59）)</v>
      </c>
      <c r="E8" s="1" t="s">
        <v>15</v>
      </c>
      <c r="F8" s="1" t="s">
        <v>35</v>
      </c>
      <c r="H8" s="1">
        <v>1</v>
      </c>
      <c r="I8" s="1" t="s">
        <v>17</v>
      </c>
      <c r="J8" s="1" t="s">
        <v>32</v>
      </c>
      <c r="K8" s="2" t="s">
        <v>19</v>
      </c>
      <c r="L8" s="1" t="str">
        <f t="shared" si="5"/>
        <v>GetSecondPart(#2023/10/5 14:30#)</v>
      </c>
    </row>
    <row r="9" spans="1:12" s="1" customFormat="1" ht="20" customHeight="1" x14ac:dyDescent="0.3">
      <c r="A9" s="1" t="s">
        <v>36</v>
      </c>
      <c r="B9" s="1" t="str">
        <f t="shared" si="3"/>
        <v>GetTimePart(日期)：</v>
      </c>
      <c r="C9" s="1" t="s">
        <v>37</v>
      </c>
      <c r="D9" s="1" t="str">
        <f t="shared" si="4"/>
        <v>整数(返回时刻的时间部分。)</v>
      </c>
      <c r="E9" s="1" t="s">
        <v>15</v>
      </c>
      <c r="F9" s="1" t="s">
        <v>37</v>
      </c>
      <c r="H9" s="1">
        <v>1</v>
      </c>
      <c r="I9" s="1" t="s">
        <v>17</v>
      </c>
      <c r="J9" s="1" t="s">
        <v>32</v>
      </c>
      <c r="K9" s="2" t="s">
        <v>38</v>
      </c>
      <c r="L9" s="1" t="str">
        <f t="shared" si="5"/>
        <v>GetTimePart(#2023/05/01 13:30:00#)</v>
      </c>
    </row>
    <row r="10" spans="1:12" x14ac:dyDescent="0.3">
      <c r="A10" s="7" t="s">
        <v>618</v>
      </c>
      <c r="B10" s="7"/>
    </row>
    <row r="11" spans="1:12" s="1" customFormat="1" ht="20" customHeight="1" x14ac:dyDescent="0.3">
      <c r="A11" s="1" t="s">
        <v>70</v>
      </c>
      <c r="B11" s="1" t="str">
        <f>A11&amp;"("&amp;I11&amp;")："</f>
        <v>EndOfNextMonth(日期;实数)：</v>
      </c>
      <c r="C11" s="1" t="s">
        <v>114</v>
      </c>
      <c r="D11" s="1" t="str">
        <f>E11&amp;"("&amp;F11&amp;")"</f>
        <v>日期((x+1)个月之后当月的开始时刻1秒之前)</v>
      </c>
      <c r="E11" s="1" t="s">
        <v>17</v>
      </c>
      <c r="F11" s="1" t="s">
        <v>71</v>
      </c>
      <c r="H11" s="1">
        <v>2</v>
      </c>
      <c r="I11" s="1" t="s">
        <v>58</v>
      </c>
      <c r="J11" s="1" t="s">
        <v>72</v>
      </c>
      <c r="K11" s="2" t="s">
        <v>60</v>
      </c>
      <c r="L11" s="1" t="str">
        <f>A11&amp;"("&amp;K11&amp;")"</f>
        <v>EndOfNextMonth(#2023/10/5 14:30#;0)</v>
      </c>
    </row>
    <row r="12" spans="1:12" s="1" customFormat="1" ht="20" customHeight="1" x14ac:dyDescent="0.3">
      <c r="A12" s="1" t="s">
        <v>73</v>
      </c>
      <c r="B12" s="1" t="str">
        <f>A12&amp;"("&amp;I12&amp;")："</f>
        <v>EndOfNextWeek(日期;实数)：</v>
      </c>
      <c r="C12" s="1" t="s">
        <v>74</v>
      </c>
      <c r="D12" s="1" t="str">
        <f>E12&amp;"("&amp;F12&amp;")"</f>
        <v>日期((x+1)周之后当周的周一的开始时刻的1秒之前)</v>
      </c>
      <c r="E12" s="1" t="s">
        <v>17</v>
      </c>
      <c r="F12" s="1" t="s">
        <v>75</v>
      </c>
      <c r="H12" s="1">
        <v>2</v>
      </c>
      <c r="I12" s="1" t="s">
        <v>58</v>
      </c>
      <c r="J12" s="1" t="s">
        <v>76</v>
      </c>
      <c r="K12" s="2" t="s">
        <v>60</v>
      </c>
      <c r="L12" s="1" t="str">
        <f>A12&amp;"("&amp;K12&amp;")"</f>
        <v>EndOfNextWeek(#2023/10/5 14:30#;0)</v>
      </c>
    </row>
    <row r="13" spans="1:12" s="1" customFormat="1" ht="20" customHeight="1" x14ac:dyDescent="0.3">
      <c r="A13" s="1" t="s">
        <v>55</v>
      </c>
      <c r="B13" s="1" t="str">
        <f t="shared" ref="B13:B28" si="6">A13&amp;"("&amp;I13&amp;")："</f>
        <v>EndOfNextDay(日期;实数)：</v>
      </c>
      <c r="C13" s="1" t="s">
        <v>56</v>
      </c>
      <c r="D13" s="1" t="str">
        <f t="shared" ref="D13:D28" si="7">E13&amp;"("&amp;F13&amp;")"</f>
        <v>日期((x+1)日后当日的开始时刻的一秒之前)</v>
      </c>
      <c r="E13" s="1" t="s">
        <v>17</v>
      </c>
      <c r="F13" s="1" t="s">
        <v>57</v>
      </c>
      <c r="H13" s="1">
        <v>2</v>
      </c>
      <c r="I13" s="1" t="s">
        <v>58</v>
      </c>
      <c r="J13" s="1" t="s">
        <v>59</v>
      </c>
      <c r="K13" s="2" t="s">
        <v>60</v>
      </c>
      <c r="L13" s="1" t="str">
        <f t="shared" ref="L13:L28" si="8">A13&amp;"("&amp;K13&amp;")"</f>
        <v>EndOfNextDay(#2023/10/5 14:30#;0)</v>
      </c>
    </row>
    <row r="14" spans="1:12" s="1" customFormat="1" ht="20" customHeight="1" x14ac:dyDescent="0.3">
      <c r="A14" s="1" t="s">
        <v>61</v>
      </c>
      <c r="B14" s="1" t="str">
        <f t="shared" si="6"/>
        <v>EndOfNextHour(日期;实数)：</v>
      </c>
      <c r="C14" s="1" t="s">
        <v>62</v>
      </c>
      <c r="D14" s="1" t="str">
        <f t="shared" si="7"/>
        <v>日期((x+1)小时后的开始时刻的一秒之前)</v>
      </c>
      <c r="E14" s="1" t="s">
        <v>17</v>
      </c>
      <c r="F14" s="1" t="s">
        <v>63</v>
      </c>
      <c r="H14" s="1">
        <v>2</v>
      </c>
      <c r="I14" s="1" t="s">
        <v>58</v>
      </c>
      <c r="J14" s="1" t="s">
        <v>64</v>
      </c>
      <c r="K14" s="2" t="s">
        <v>65</v>
      </c>
      <c r="L14" s="1" t="str">
        <f t="shared" si="8"/>
        <v>EndOfNextHour(#2023/10/5#;0)</v>
      </c>
    </row>
    <row r="15" spans="1:12" s="1" customFormat="1" ht="20" customHeight="1" x14ac:dyDescent="0.3">
      <c r="A15" s="1" t="s">
        <v>66</v>
      </c>
      <c r="B15" s="1" t="str">
        <f t="shared" si="6"/>
        <v>EndOfNextMinute(日期;实数)：</v>
      </c>
      <c r="C15" s="1" t="s">
        <v>67</v>
      </c>
      <c r="D15" s="1" t="str">
        <f t="shared" si="7"/>
        <v>日期((x+1)分钟后的开始时刻的一秒之前)</v>
      </c>
      <c r="E15" s="1" t="s">
        <v>17</v>
      </c>
      <c r="F15" s="1" t="s">
        <v>68</v>
      </c>
      <c r="H15" s="1">
        <v>2</v>
      </c>
      <c r="I15" s="1" t="s">
        <v>58</v>
      </c>
      <c r="J15" s="1" t="s">
        <v>69</v>
      </c>
      <c r="K15" s="2" t="s">
        <v>65</v>
      </c>
      <c r="L15" s="1" t="str">
        <f t="shared" si="8"/>
        <v>EndOfNextMinute(#2023/10/5#;0)</v>
      </c>
    </row>
    <row r="16" spans="1:12" s="1" customFormat="1" ht="20" customHeight="1" x14ac:dyDescent="0.3">
      <c r="A16" s="1" t="s">
        <v>77</v>
      </c>
      <c r="B16" s="1" t="str">
        <f t="shared" si="6"/>
        <v>StartOfNextMonth(日期;实数)：</v>
      </c>
      <c r="C16" s="1" t="s">
        <v>78</v>
      </c>
      <c r="D16" s="1" t="str">
        <f t="shared" si="7"/>
        <v>日期(x个月之后当月的开始时刻)</v>
      </c>
      <c r="E16" s="1" t="s">
        <v>17</v>
      </c>
      <c r="F16" s="1" t="s">
        <v>79</v>
      </c>
      <c r="H16" s="1">
        <v>2</v>
      </c>
      <c r="I16" s="1" t="s">
        <v>58</v>
      </c>
      <c r="J16" s="1" t="s">
        <v>80</v>
      </c>
      <c r="K16" s="2" t="s">
        <v>60</v>
      </c>
      <c r="L16" s="1" t="str">
        <f t="shared" si="8"/>
        <v>StartOfNextMonth(#2023/10/5 14:30#;0)</v>
      </c>
    </row>
    <row r="17" spans="1:12" s="1" customFormat="1" ht="20" customHeight="1" x14ac:dyDescent="0.3">
      <c r="A17" s="1" t="s">
        <v>81</v>
      </c>
      <c r="B17" s="1" t="str">
        <f t="shared" si="6"/>
        <v>StartOfNextWeek(日期;实数)：</v>
      </c>
      <c r="C17" s="1" t="s">
        <v>82</v>
      </c>
      <c r="D17" s="1" t="str">
        <f t="shared" si="7"/>
        <v>日期(x周之后当周的星期一的开始时刻)</v>
      </c>
      <c r="E17" s="1" t="s">
        <v>17</v>
      </c>
      <c r="F17" s="1" t="s">
        <v>83</v>
      </c>
      <c r="H17" s="1">
        <v>2</v>
      </c>
      <c r="I17" s="1" t="s">
        <v>58</v>
      </c>
      <c r="J17" s="1" t="s">
        <v>76</v>
      </c>
      <c r="K17" s="2" t="s">
        <v>60</v>
      </c>
      <c r="L17" s="1" t="str">
        <f t="shared" si="8"/>
        <v>StartOfNextWeek(#2023/10/5 14:30#;0)</v>
      </c>
    </row>
    <row r="18" spans="1:12" s="1" customFormat="1" ht="20" customHeight="1" x14ac:dyDescent="0.3">
      <c r="A18" s="1" t="s">
        <v>84</v>
      </c>
      <c r="B18" s="1" t="str">
        <f t="shared" si="6"/>
        <v>StartOfNextDay(日期;实数)：</v>
      </c>
      <c r="C18" s="1" t="s">
        <v>85</v>
      </c>
      <c r="D18" s="1" t="str">
        <f t="shared" si="7"/>
        <v>日期(x日后当日的开始时刻)</v>
      </c>
      <c r="E18" s="1" t="s">
        <v>17</v>
      </c>
      <c r="F18" s="1" t="s">
        <v>86</v>
      </c>
      <c r="H18" s="1">
        <v>2</v>
      </c>
      <c r="I18" s="1" t="s">
        <v>58</v>
      </c>
      <c r="J18" s="1" t="s">
        <v>59</v>
      </c>
      <c r="K18" s="2" t="s">
        <v>60</v>
      </c>
      <c r="L18" s="1" t="str">
        <f t="shared" si="8"/>
        <v>StartOfNextDay(#2023/10/5 14:30#;0)</v>
      </c>
    </row>
    <row r="19" spans="1:12" s="1" customFormat="1" ht="20" customHeight="1" x14ac:dyDescent="0.3">
      <c r="A19" s="1" t="s">
        <v>87</v>
      </c>
      <c r="B19" s="1" t="str">
        <f t="shared" si="6"/>
        <v>StartOfNextHour(日期;实数)：</v>
      </c>
      <c r="C19" s="1" t="s">
        <v>88</v>
      </c>
      <c r="D19" s="1" t="str">
        <f t="shared" si="7"/>
        <v>日期(x小时后的开始时刻)</v>
      </c>
      <c r="E19" s="1" t="s">
        <v>17</v>
      </c>
      <c r="F19" s="1" t="s">
        <v>89</v>
      </c>
      <c r="H19" s="1">
        <v>2</v>
      </c>
      <c r="I19" s="1" t="s">
        <v>58</v>
      </c>
      <c r="J19" s="1" t="s">
        <v>64</v>
      </c>
      <c r="K19" s="2" t="s">
        <v>65</v>
      </c>
      <c r="L19" s="1" t="str">
        <f t="shared" si="8"/>
        <v>StartOfNextHour(#2023/10/5#;0)</v>
      </c>
    </row>
    <row r="20" spans="1:12" s="1" customFormat="1" ht="20" customHeight="1" x14ac:dyDescent="0.3">
      <c r="A20" s="1" t="s">
        <v>90</v>
      </c>
      <c r="B20" s="1" t="str">
        <f t="shared" si="6"/>
        <v>StartOfNextMinute(日期;实数)：</v>
      </c>
      <c r="C20" s="1" t="s">
        <v>91</v>
      </c>
      <c r="D20" s="1" t="str">
        <f t="shared" si="7"/>
        <v>日期(x分钟后的开始时刻)</v>
      </c>
      <c r="E20" s="1" t="s">
        <v>17</v>
      </c>
      <c r="F20" s="1" t="s">
        <v>92</v>
      </c>
      <c r="H20" s="1">
        <v>2</v>
      </c>
      <c r="I20" s="1" t="s">
        <v>58</v>
      </c>
      <c r="J20" s="1" t="s">
        <v>69</v>
      </c>
      <c r="K20" s="2" t="s">
        <v>65</v>
      </c>
      <c r="L20" s="1" t="str">
        <f t="shared" si="8"/>
        <v>StartOfNextMinute(#2023/10/5#;0)</v>
      </c>
    </row>
    <row r="21" spans="1:12" s="1" customFormat="1" ht="20" customHeight="1" x14ac:dyDescent="0.3">
      <c r="B21" s="4" t="s">
        <v>115</v>
      </c>
      <c r="K21" s="2"/>
    </row>
    <row r="22" spans="1:12" s="1" customFormat="1" ht="20" customHeight="1" x14ac:dyDescent="0.3">
      <c r="A22" s="1" t="s">
        <v>39</v>
      </c>
      <c r="B22" s="1" t="str">
        <f>A22&amp;"("&amp;I22&amp;")："</f>
        <v>DateF(整数;整数;整数;整数)：</v>
      </c>
      <c r="C22" s="1" t="s">
        <v>40</v>
      </c>
      <c r="D22" s="1" t="str">
        <f>E22&amp;"("&amp;F22&amp;")"</f>
        <v>日期(把数字转换称时刻)</v>
      </c>
      <c r="E22" s="1" t="s">
        <v>17</v>
      </c>
      <c r="F22" s="1" t="s">
        <v>41</v>
      </c>
      <c r="H22" s="1">
        <v>6</v>
      </c>
      <c r="I22" s="1" t="s">
        <v>42</v>
      </c>
      <c r="J22" s="1" t="s">
        <v>43</v>
      </c>
      <c r="K22" s="2" t="s">
        <v>44</v>
      </c>
      <c r="L22" s="1" t="str">
        <f>A22&amp;"("&amp;K22&amp;")"</f>
        <v>DateF(2023;4;25;1;2;3)</v>
      </c>
    </row>
    <row r="23" spans="1:12" s="1" customFormat="1" ht="20" customHeight="1" x14ac:dyDescent="0.3">
      <c r="A23" s="1" t="s">
        <v>45</v>
      </c>
      <c r="B23" s="1" t="str">
        <f>A23&amp;"("&amp;I23&amp;")："</f>
        <v>DateS(整数;整数;整数)：</v>
      </c>
      <c r="C23" s="1" t="s">
        <v>46</v>
      </c>
      <c r="D23" s="1" t="str">
        <f>E23&amp;"("&amp;F23&amp;")"</f>
        <v>日期(把数字转换称时刻)</v>
      </c>
      <c r="E23" s="1" t="s">
        <v>17</v>
      </c>
      <c r="F23" s="1" t="s">
        <v>41</v>
      </c>
      <c r="H23" s="1">
        <v>3</v>
      </c>
      <c r="I23" s="1" t="s">
        <v>47</v>
      </c>
      <c r="J23" s="1" t="s">
        <v>48</v>
      </c>
      <c r="K23" s="2" t="s">
        <v>49</v>
      </c>
      <c r="L23" s="1" t="str">
        <f>A23&amp;"("&amp;K23&amp;")"</f>
        <v>DateS(2023;4;25)</v>
      </c>
    </row>
    <row r="24" spans="1:12" s="1" customFormat="1" ht="20" customHeight="1" x14ac:dyDescent="0.3">
      <c r="A24" s="1" t="s">
        <v>50</v>
      </c>
      <c r="B24" s="1" t="str">
        <f>A24&amp;"("&amp;I24&amp;")："</f>
        <v>DateT(整数;整数;整数;时间间隔)：</v>
      </c>
      <c r="C24" s="1" t="s">
        <v>51</v>
      </c>
      <c r="D24" s="1" t="str">
        <f>E24&amp;"("&amp;F24&amp;")"</f>
        <v>日期(从所指定的年月日及时间返回时刻。)</v>
      </c>
      <c r="E24" s="1" t="s">
        <v>17</v>
      </c>
      <c r="F24" s="1" t="s">
        <v>51</v>
      </c>
      <c r="H24" s="1">
        <v>4</v>
      </c>
      <c r="I24" s="1" t="s">
        <v>52</v>
      </c>
      <c r="J24" s="1" t="s">
        <v>53</v>
      </c>
      <c r="K24" s="2" t="s">
        <v>54</v>
      </c>
      <c r="L24" s="1" t="str">
        <f>A24&amp;"("&amp;K24&amp;")"</f>
        <v>DateT(2023;5;30;6H)</v>
      </c>
    </row>
    <row r="25" spans="1:12" s="1" customFormat="1" ht="20" customHeight="1" x14ac:dyDescent="0.3">
      <c r="A25" s="1" t="s">
        <v>93</v>
      </c>
      <c r="B25" s="1" t="str">
        <f t="shared" si="6"/>
        <v>Now()：</v>
      </c>
      <c r="C25" s="1" t="s">
        <v>94</v>
      </c>
      <c r="D25" s="1" t="str">
        <f t="shared" si="7"/>
        <v>日期(当前时间)</v>
      </c>
      <c r="E25" s="1" t="s">
        <v>17</v>
      </c>
      <c r="F25" s="1" t="s">
        <v>95</v>
      </c>
      <c r="H25" s="1">
        <v>0</v>
      </c>
      <c r="K25" s="2"/>
      <c r="L25" s="1" t="str">
        <f t="shared" si="8"/>
        <v>Now()</v>
      </c>
    </row>
    <row r="26" spans="1:12" s="1" customFormat="1" ht="20" customHeight="1" x14ac:dyDescent="0.3">
      <c r="A26" s="1" t="s">
        <v>96</v>
      </c>
      <c r="B26" s="1" t="str">
        <f t="shared" si="6"/>
        <v>ParseDate(字符串;字符串)：</v>
      </c>
      <c r="C26" s="1" t="s">
        <v>97</v>
      </c>
      <c r="D26" s="1" t="str">
        <f t="shared" si="7"/>
        <v>日期(将字符串转换为日期的结果)</v>
      </c>
      <c r="E26" s="1" t="s">
        <v>17</v>
      </c>
      <c r="F26" s="1" t="s">
        <v>98</v>
      </c>
      <c r="H26" s="1">
        <v>2</v>
      </c>
      <c r="I26" s="1" t="s">
        <v>99</v>
      </c>
      <c r="J26" s="1" t="s">
        <v>100</v>
      </c>
      <c r="K26" s="2" t="s">
        <v>101</v>
      </c>
      <c r="L26" s="1" t="str">
        <f t="shared" si="8"/>
        <v>ParseDate('25/01/23';'yy/MM/dd')</v>
      </c>
    </row>
    <row r="27" spans="1:12" s="1" customFormat="1" ht="20" customHeight="1" x14ac:dyDescent="0.3">
      <c r="A27" s="1" t="s">
        <v>102</v>
      </c>
      <c r="B27" s="1" t="str">
        <f t="shared" si="6"/>
        <v>ParseTimespan(字符串;字符串)：</v>
      </c>
      <c r="C27" s="1" t="s">
        <v>103</v>
      </c>
      <c r="D27" s="1" t="str">
        <f t="shared" si="7"/>
        <v>时间(将字符串转换为时间的结果)</v>
      </c>
      <c r="E27" s="1" t="s">
        <v>104</v>
      </c>
      <c r="F27" s="1" t="s">
        <v>105</v>
      </c>
      <c r="H27" s="1">
        <v>2</v>
      </c>
      <c r="I27" s="1" t="s">
        <v>99</v>
      </c>
      <c r="J27" s="1" t="s">
        <v>100</v>
      </c>
      <c r="K27" s="2" t="s">
        <v>106</v>
      </c>
      <c r="L27" s="1" t="str">
        <f t="shared" si="8"/>
        <v>ParseTimespan('12:34';'HH:mm')</v>
      </c>
    </row>
    <row r="28" spans="1:12" s="1" customFormat="1" ht="20" customHeight="1" x14ac:dyDescent="0.3">
      <c r="A28" s="1" t="s">
        <v>107</v>
      </c>
      <c r="B28" s="1" t="str">
        <f t="shared" si="6"/>
        <v>ConvertTime(时间间隔;字符串)：</v>
      </c>
      <c r="C28" s="1" t="s">
        <v>108</v>
      </c>
      <c r="D28" s="1" t="str">
        <f t="shared" si="7"/>
        <v>实数(转换出来的时间的数字)</v>
      </c>
      <c r="E28" s="1" t="s">
        <v>109</v>
      </c>
      <c r="F28" s="1" t="s">
        <v>110</v>
      </c>
      <c r="H28" s="1">
        <v>2</v>
      </c>
      <c r="I28" s="1" t="s">
        <v>111</v>
      </c>
      <c r="J28" s="1" t="s">
        <v>112</v>
      </c>
      <c r="K28" s="2" t="s">
        <v>113</v>
      </c>
      <c r="L28" s="1" t="str">
        <f t="shared" si="8"/>
        <v>ConvertTime(1.6H;'H')</v>
      </c>
    </row>
    <row r="29" spans="1:12" x14ac:dyDescent="0.3">
      <c r="B29" s="3" t="s">
        <v>137</v>
      </c>
    </row>
    <row r="30" spans="1:12" s="1" customFormat="1" ht="20" customHeight="1" x14ac:dyDescent="0.3">
      <c r="A30" s="1" t="s">
        <v>116</v>
      </c>
      <c r="B30" s="1" t="str">
        <f t="shared" ref="B30:B34" si="9">A30&amp;"("&amp;I30&amp;")："</f>
        <v>Left(字符串;整数)：</v>
      </c>
      <c r="C30" s="1" t="s">
        <v>117</v>
      </c>
      <c r="D30" s="1" t="str">
        <f t="shared" ref="D30:D34" si="10">E30&amp;"("&amp;F30&amp;")"</f>
        <v>字符串(取得的结果字符串)</v>
      </c>
      <c r="E30" s="1" t="s">
        <v>118</v>
      </c>
      <c r="F30" s="1" t="s">
        <v>119</v>
      </c>
      <c r="H30" s="1">
        <v>2</v>
      </c>
      <c r="I30" s="1" t="s">
        <v>120</v>
      </c>
      <c r="J30" s="1" t="s">
        <v>121</v>
      </c>
      <c r="K30" s="2" t="s">
        <v>122</v>
      </c>
      <c r="L30" s="1" t="str">
        <f t="shared" ref="L30:L34" si="11">A30&amp;"("&amp;K30&amp;")"</f>
        <v>Left('ABCDE';2)</v>
      </c>
    </row>
    <row r="31" spans="1:12" s="1" customFormat="1" ht="20" customHeight="1" x14ac:dyDescent="0.3">
      <c r="A31" s="1" t="s">
        <v>123</v>
      </c>
      <c r="B31" s="1" t="str">
        <f t="shared" si="9"/>
        <v>LeftB(字符串;整数;整数)：</v>
      </c>
      <c r="C31" s="1" t="s">
        <v>124</v>
      </c>
      <c r="D31" s="1" t="str">
        <f t="shared" si="10"/>
        <v>字符串(切掉的字符串)</v>
      </c>
      <c r="E31" s="1" t="s">
        <v>118</v>
      </c>
      <c r="F31" s="1" t="s">
        <v>125</v>
      </c>
      <c r="H31" s="1">
        <v>3</v>
      </c>
      <c r="I31" s="1" t="s">
        <v>126</v>
      </c>
      <c r="J31" s="1" t="s">
        <v>127</v>
      </c>
      <c r="K31" s="2" t="s">
        <v>128</v>
      </c>
      <c r="L31" s="1" t="str">
        <f t="shared" si="11"/>
        <v>LeftB('ABCDE';2;0)</v>
      </c>
    </row>
    <row r="32" spans="1:12" s="1" customFormat="1" ht="20" customHeight="1" x14ac:dyDescent="0.3">
      <c r="A32" s="1" t="s">
        <v>129</v>
      </c>
      <c r="B32" s="1" t="str">
        <f t="shared" si="9"/>
        <v>Mid(字符串;整数;整数)：</v>
      </c>
      <c r="C32" s="1" t="s">
        <v>130</v>
      </c>
      <c r="D32" s="1" t="str">
        <f t="shared" si="10"/>
        <v>字符串(取得的结果字符串)</v>
      </c>
      <c r="E32" s="1" t="s">
        <v>118</v>
      </c>
      <c r="F32" s="1" t="s">
        <v>119</v>
      </c>
      <c r="H32" s="1">
        <v>3</v>
      </c>
      <c r="I32" s="1" t="s">
        <v>126</v>
      </c>
      <c r="J32" s="1" t="s">
        <v>131</v>
      </c>
      <c r="K32" s="2" t="s">
        <v>132</v>
      </c>
      <c r="L32" s="1" t="str">
        <f t="shared" si="11"/>
        <v>Mid('ABCDE';2;3)</v>
      </c>
    </row>
    <row r="33" spans="1:12" s="1" customFormat="1" ht="20" customHeight="1" x14ac:dyDescent="0.3">
      <c r="A33" s="1" t="s">
        <v>133</v>
      </c>
      <c r="B33" s="1" t="str">
        <f t="shared" si="9"/>
        <v>Right(字符串;整数)：</v>
      </c>
      <c r="C33" s="1" t="s">
        <v>134</v>
      </c>
      <c r="D33" s="1" t="str">
        <f t="shared" si="10"/>
        <v>字符串(取得的结果字符串)</v>
      </c>
      <c r="E33" s="1" t="s">
        <v>118</v>
      </c>
      <c r="F33" s="1" t="s">
        <v>119</v>
      </c>
      <c r="H33" s="1">
        <v>2</v>
      </c>
      <c r="I33" s="1" t="s">
        <v>120</v>
      </c>
      <c r="J33" s="1" t="s">
        <v>121</v>
      </c>
      <c r="K33" s="2" t="s">
        <v>122</v>
      </c>
      <c r="L33" s="1" t="str">
        <f t="shared" si="11"/>
        <v>Right('ABCDE';2)</v>
      </c>
    </row>
    <row r="34" spans="1:12" s="1" customFormat="1" ht="20" customHeight="1" x14ac:dyDescent="0.3">
      <c r="A34" s="1" t="s">
        <v>135</v>
      </c>
      <c r="B34" s="1" t="str">
        <f t="shared" si="9"/>
        <v>RightB(字符串;整数;整数)：</v>
      </c>
      <c r="C34" s="1" t="s">
        <v>136</v>
      </c>
      <c r="D34" s="1" t="str">
        <f t="shared" si="10"/>
        <v>字符串(切掉的字符串)</v>
      </c>
      <c r="E34" s="1" t="s">
        <v>118</v>
      </c>
      <c r="F34" s="1" t="s">
        <v>125</v>
      </c>
      <c r="H34" s="1">
        <v>3</v>
      </c>
      <c r="I34" s="1" t="s">
        <v>126</v>
      </c>
      <c r="J34" s="1" t="s">
        <v>127</v>
      </c>
      <c r="K34" s="2" t="s">
        <v>128</v>
      </c>
      <c r="L34" s="1" t="str">
        <f t="shared" si="11"/>
        <v>RightB('ABCDE';2;0)</v>
      </c>
    </row>
    <row r="35" spans="1:12" x14ac:dyDescent="0.3">
      <c r="B35" s="3" t="s">
        <v>138</v>
      </c>
    </row>
    <row r="36" spans="1:12" s="1" customFormat="1" ht="20" customHeight="1" x14ac:dyDescent="0.3">
      <c r="A36" s="1" t="s">
        <v>139</v>
      </c>
      <c r="B36" s="1" t="str">
        <f t="shared" ref="B36:B37" si="12">A36&amp;"("&amp;I36&amp;")："</f>
        <v>Len(字符串)：</v>
      </c>
      <c r="C36" s="1" t="s">
        <v>140</v>
      </c>
      <c r="D36" s="1" t="str">
        <f t="shared" ref="D36:D37" si="13">E36&amp;"("&amp;F36&amp;")"</f>
        <v>整数(字符串长度)</v>
      </c>
      <c r="E36" s="1" t="s">
        <v>15</v>
      </c>
      <c r="F36" s="1" t="s">
        <v>141</v>
      </c>
      <c r="H36" s="1">
        <v>1</v>
      </c>
      <c r="I36" s="1" t="s">
        <v>118</v>
      </c>
      <c r="J36" s="1" t="s">
        <v>142</v>
      </c>
      <c r="K36" s="2" t="s">
        <v>143</v>
      </c>
      <c r="L36" s="1" t="str">
        <f t="shared" ref="L36:L37" si="14">A36&amp;"("&amp;K36&amp;")"</f>
        <v>Len('ABCDE')</v>
      </c>
    </row>
    <row r="37" spans="1:12" s="1" customFormat="1" ht="20" customHeight="1" x14ac:dyDescent="0.3">
      <c r="A37" s="1" t="s">
        <v>144</v>
      </c>
      <c r="B37" s="1" t="str">
        <f t="shared" si="12"/>
        <v>LenB(字符串)：</v>
      </c>
      <c r="C37" s="1" t="s">
        <v>145</v>
      </c>
      <c r="D37" s="1" t="str">
        <f t="shared" si="13"/>
        <v>整数(字符串的长度)</v>
      </c>
      <c r="E37" s="1" t="s">
        <v>15</v>
      </c>
      <c r="F37" s="1" t="s">
        <v>146</v>
      </c>
      <c r="H37" s="1">
        <v>1</v>
      </c>
      <c r="I37" s="1" t="s">
        <v>118</v>
      </c>
      <c r="J37" s="1" t="s">
        <v>147</v>
      </c>
      <c r="K37" s="2" t="s">
        <v>143</v>
      </c>
      <c r="L37" s="1" t="str">
        <f t="shared" si="14"/>
        <v>LenB('ABCDE')</v>
      </c>
    </row>
    <row r="38" spans="1:12" x14ac:dyDescent="0.3">
      <c r="B38" s="3" t="s">
        <v>420</v>
      </c>
    </row>
    <row r="39" spans="1:12" s="1" customFormat="1" ht="20" customHeight="1" x14ac:dyDescent="0.3">
      <c r="A39" s="1" t="s">
        <v>148</v>
      </c>
      <c r="B39" s="1" t="str">
        <f t="shared" ref="B39:B41" si="15">A39&amp;"("&amp;I39&amp;")："</f>
        <v>Lower(字符串)：</v>
      </c>
      <c r="C39" s="1" t="s">
        <v>149</v>
      </c>
      <c r="D39" s="1" t="str">
        <f t="shared" ref="D39:D41" si="16">E39&amp;"("&amp;F39&amp;")"</f>
        <v>字符串(转换为小写后的字符串)</v>
      </c>
      <c r="E39" s="1" t="s">
        <v>118</v>
      </c>
      <c r="F39" s="1" t="s">
        <v>150</v>
      </c>
      <c r="H39" s="1">
        <v>1</v>
      </c>
      <c r="I39" s="1" t="s">
        <v>118</v>
      </c>
      <c r="J39" s="1" t="s">
        <v>147</v>
      </c>
      <c r="K39" s="2" t="s">
        <v>143</v>
      </c>
      <c r="L39" s="1" t="str">
        <f t="shared" ref="L39:L41" si="17">A39&amp;"("&amp;K39&amp;")"</f>
        <v>Lower('ABCDE')</v>
      </c>
    </row>
    <row r="40" spans="1:12" s="1" customFormat="1" ht="20" customHeight="1" x14ac:dyDescent="0.3">
      <c r="A40" s="1" t="s">
        <v>151</v>
      </c>
      <c r="B40" s="1" t="str">
        <f t="shared" si="15"/>
        <v>Upper(字符串)：</v>
      </c>
      <c r="C40" s="1" t="s">
        <v>152</v>
      </c>
      <c r="D40" s="1" t="str">
        <f t="shared" si="16"/>
        <v>字符串(转换为大写后的字符串)</v>
      </c>
      <c r="E40" s="1" t="s">
        <v>118</v>
      </c>
      <c r="F40" s="1" t="s">
        <v>153</v>
      </c>
      <c r="H40" s="1">
        <v>1</v>
      </c>
      <c r="I40" s="1" t="s">
        <v>118</v>
      </c>
      <c r="J40" s="1" t="s">
        <v>147</v>
      </c>
      <c r="K40" s="2" t="s">
        <v>154</v>
      </c>
      <c r="L40" s="1" t="str">
        <f t="shared" si="17"/>
        <v>Upper('abcde')</v>
      </c>
    </row>
    <row r="41" spans="1:12" s="1" customFormat="1" ht="20" customHeight="1" x14ac:dyDescent="0.3">
      <c r="A41" s="1" t="s">
        <v>161</v>
      </c>
      <c r="B41" s="1" t="str">
        <f t="shared" si="15"/>
        <v>Format(属性;字符串)：</v>
      </c>
      <c r="C41" s="1" t="s">
        <v>162</v>
      </c>
      <c r="D41" s="1" t="str">
        <f t="shared" si="16"/>
        <v>字符串(格式化的字符串)</v>
      </c>
      <c r="E41" s="1" t="s">
        <v>118</v>
      </c>
      <c r="F41" s="1" t="s">
        <v>163</v>
      </c>
      <c r="H41" s="1">
        <v>2</v>
      </c>
      <c r="I41" s="1" t="s">
        <v>164</v>
      </c>
      <c r="J41" s="1" t="s">
        <v>165</v>
      </c>
      <c r="K41" s="2" t="s">
        <v>166</v>
      </c>
      <c r="L41" s="1" t="str">
        <f t="shared" si="17"/>
        <v>Format(1.234;'#0.00')</v>
      </c>
    </row>
    <row r="42" spans="1:12" s="1" customFormat="1" ht="20" customHeight="1" x14ac:dyDescent="0.3">
      <c r="A42" s="1" t="s">
        <v>155</v>
      </c>
      <c r="B42" s="1" t="str">
        <f t="shared" ref="B42:B44" si="18">A42&amp;"("&amp;I42&amp;")："</f>
        <v>DisplayStr(不带符号整数)：</v>
      </c>
      <c r="C42" s="1" t="s">
        <v>156</v>
      </c>
      <c r="D42" s="1" t="str">
        <f t="shared" ref="D42:D44" si="19">E42&amp;"("&amp;F42&amp;")"</f>
        <v>字符串(返回运行显示表达式的结果。)</v>
      </c>
      <c r="E42" s="1" t="s">
        <v>118</v>
      </c>
      <c r="F42" s="1" t="s">
        <v>157</v>
      </c>
      <c r="H42" s="1">
        <v>1</v>
      </c>
      <c r="I42" s="1" t="s">
        <v>158</v>
      </c>
      <c r="J42" s="1" t="s">
        <v>159</v>
      </c>
      <c r="K42" s="2" t="s">
        <v>160</v>
      </c>
      <c r="L42" s="1" t="str">
        <f t="shared" ref="L42:L44" si="20">A42&amp;"("&amp;K42&amp;")"</f>
        <v>DisplayStr(Me.Order.Qty)</v>
      </c>
    </row>
    <row r="43" spans="1:12" s="1" customFormat="1" ht="20" customHeight="1" x14ac:dyDescent="0.3">
      <c r="A43" s="1" t="s">
        <v>167</v>
      </c>
      <c r="B43" s="1" t="str">
        <f t="shared" si="18"/>
        <v>ExpressionStr(不带符号整数;整数)：</v>
      </c>
      <c r="C43" s="1" t="s">
        <v>168</v>
      </c>
      <c r="D43" s="1" t="str">
        <f t="shared" si="19"/>
        <v>字符串(表达式的字符串)</v>
      </c>
      <c r="E43" s="1" t="s">
        <v>118</v>
      </c>
      <c r="F43" s="1" t="s">
        <v>169</v>
      </c>
      <c r="H43" s="1">
        <v>2</v>
      </c>
      <c r="I43" s="1" t="s">
        <v>170</v>
      </c>
      <c r="J43" s="1" t="s">
        <v>171</v>
      </c>
      <c r="K43" s="2" t="s">
        <v>172</v>
      </c>
      <c r="L43" s="1" t="str">
        <f t="shared" si="20"/>
        <v>ExpressionStr(ME.VirtualPropertyExpression;0)</v>
      </c>
    </row>
    <row r="44" spans="1:12" s="1" customFormat="1" ht="20" customHeight="1" x14ac:dyDescent="0.3">
      <c r="A44" s="1" t="s">
        <v>173</v>
      </c>
      <c r="B44" s="1" t="str">
        <f t="shared" si="18"/>
        <v>GenStrSerialNum(实数;实数)：</v>
      </c>
      <c r="C44" s="1" t="s">
        <v>174</v>
      </c>
      <c r="D44" s="1" t="str">
        <f t="shared" si="19"/>
        <v>字符串(用零补位序列号的字符串)</v>
      </c>
      <c r="E44" s="1" t="s">
        <v>118</v>
      </c>
      <c r="F44" s="1" t="s">
        <v>175</v>
      </c>
      <c r="H44" s="1">
        <v>2</v>
      </c>
      <c r="I44" s="1" t="s">
        <v>176</v>
      </c>
      <c r="J44" s="1" t="s">
        <v>177</v>
      </c>
      <c r="K44" s="2" t="s">
        <v>178</v>
      </c>
      <c r="L44" s="1" t="str">
        <f t="shared" si="20"/>
        <v>GenStrSerialNum(123;4)</v>
      </c>
    </row>
    <row r="45" spans="1:12" s="1" customFormat="1" ht="18" customHeight="1" x14ac:dyDescent="0.3">
      <c r="A45" s="1" t="s">
        <v>415</v>
      </c>
      <c r="B45" s="1" t="str">
        <f>A45&amp;"("&amp;I45&amp;")："</f>
        <v>CurrencyFormat(实数)：</v>
      </c>
      <c r="C45" s="1" t="s">
        <v>416</v>
      </c>
      <c r="D45" s="1" t="str">
        <f>E45&amp;"("&amp;F45&amp;")"</f>
        <v>字符串(返回金额格式表达式运行的结果字符串。)</v>
      </c>
      <c r="E45" s="1" t="s">
        <v>118</v>
      </c>
      <c r="F45" s="1" t="s">
        <v>417</v>
      </c>
      <c r="H45" s="1">
        <v>1</v>
      </c>
      <c r="I45" s="1" t="s">
        <v>109</v>
      </c>
      <c r="J45" s="1" t="s">
        <v>418</v>
      </c>
      <c r="K45" s="2" t="s">
        <v>419</v>
      </c>
      <c r="L45" s="1" t="str">
        <f>A45&amp;"("&amp;K45&amp;")"</f>
        <v>CurrencyFormat(INPUT)</v>
      </c>
    </row>
    <row r="46" spans="1:12" x14ac:dyDescent="0.3">
      <c r="B46" s="3" t="s">
        <v>195</v>
      </c>
    </row>
    <row r="47" spans="1:12" s="1" customFormat="1" ht="20" customHeight="1" x14ac:dyDescent="0.3">
      <c r="A47" s="1" t="s">
        <v>179</v>
      </c>
      <c r="B47" s="1" t="str">
        <f t="shared" ref="B47:B50" si="21">A47&amp;"("&amp;I47&amp;")："</f>
        <v>Find(字符串;字符串)：</v>
      </c>
      <c r="C47" s="1" t="s">
        <v>180</v>
      </c>
      <c r="D47" s="1" t="str">
        <f t="shared" ref="D47:D50" si="22">E47&amp;"("&amp;F47&amp;")"</f>
        <v>布尔(存在就TRUE)</v>
      </c>
      <c r="E47" s="1" t="s">
        <v>181</v>
      </c>
      <c r="F47" s="1" t="s">
        <v>182</v>
      </c>
      <c r="H47" s="1">
        <v>2</v>
      </c>
      <c r="I47" s="1" t="s">
        <v>99</v>
      </c>
      <c r="J47" s="1" t="s">
        <v>183</v>
      </c>
      <c r="K47" s="2" t="s">
        <v>184</v>
      </c>
      <c r="L47" s="1" t="str">
        <f t="shared" ref="L47:L50" si="23">A47&amp;"("&amp;K47&amp;")"</f>
        <v>Find('ABCDE';'BC')</v>
      </c>
    </row>
    <row r="48" spans="1:12" s="1" customFormat="1" ht="20" customHeight="1" x14ac:dyDescent="0.3">
      <c r="A48" s="1" t="s">
        <v>185</v>
      </c>
      <c r="B48" s="1" t="str">
        <f t="shared" si="21"/>
        <v>FindNumberL(字符串;整数)：</v>
      </c>
      <c r="C48" s="1" t="s">
        <v>186</v>
      </c>
      <c r="D48" s="1" t="str">
        <f t="shared" si="22"/>
        <v>实数(从字符串的左侧开始搜索第ｎ个数字。)</v>
      </c>
      <c r="E48" s="1" t="s">
        <v>109</v>
      </c>
      <c r="F48" s="1" t="s">
        <v>186</v>
      </c>
      <c r="H48" s="1">
        <v>2</v>
      </c>
      <c r="I48" s="1" t="s">
        <v>120</v>
      </c>
      <c r="J48" s="1" t="s">
        <v>187</v>
      </c>
      <c r="K48" s="2" t="s">
        <v>188</v>
      </c>
      <c r="L48" s="1" t="str">
        <f t="shared" si="23"/>
        <v>FindNumberL('10个';1)</v>
      </c>
    </row>
    <row r="49" spans="1:12" s="1" customFormat="1" ht="20" customHeight="1" x14ac:dyDescent="0.3">
      <c r="A49" s="1" t="s">
        <v>189</v>
      </c>
      <c r="B49" s="1" t="str">
        <f t="shared" si="21"/>
        <v>FindNumberR(字符串;整数)：</v>
      </c>
      <c r="C49" s="1" t="s">
        <v>190</v>
      </c>
      <c r="D49" s="1" t="str">
        <f t="shared" si="22"/>
        <v>实数(从字符串的右侧开始搜索第ｎ个数字。)</v>
      </c>
      <c r="E49" s="1" t="s">
        <v>109</v>
      </c>
      <c r="F49" s="1" t="s">
        <v>190</v>
      </c>
      <c r="H49" s="1">
        <v>2</v>
      </c>
      <c r="I49" s="1" t="s">
        <v>120</v>
      </c>
      <c r="J49" s="1" t="s">
        <v>187</v>
      </c>
      <c r="K49" s="2" t="s">
        <v>191</v>
      </c>
      <c r="L49" s="1" t="str">
        <f t="shared" si="23"/>
        <v>FindNumberR('2月5日';1)</v>
      </c>
    </row>
    <row r="50" spans="1:12" s="1" customFormat="1" ht="20" customHeight="1" x14ac:dyDescent="0.3">
      <c r="A50" s="1" t="s">
        <v>192</v>
      </c>
      <c r="B50" s="1" t="str">
        <f t="shared" si="21"/>
        <v>StrStr(字符串;字符串)：</v>
      </c>
      <c r="C50" s="1" t="s">
        <v>193</v>
      </c>
      <c r="D50" s="1" t="str">
        <f t="shared" si="22"/>
        <v>字符串(指定字符串所含位置)</v>
      </c>
      <c r="E50" s="1" t="s">
        <v>118</v>
      </c>
      <c r="F50" s="1" t="s">
        <v>194</v>
      </c>
      <c r="H50" s="1">
        <v>2</v>
      </c>
      <c r="I50" s="1" t="s">
        <v>99</v>
      </c>
      <c r="J50" s="1" t="s">
        <v>183</v>
      </c>
      <c r="K50" s="2" t="s">
        <v>184</v>
      </c>
      <c r="L50" s="1" t="str">
        <f t="shared" si="23"/>
        <v>StrStr('ABCDE';'BC')</v>
      </c>
    </row>
    <row r="51" spans="1:12" x14ac:dyDescent="0.3">
      <c r="B51" s="3" t="s">
        <v>196</v>
      </c>
    </row>
    <row r="52" spans="1:12" s="1" customFormat="1" ht="20" customHeight="1" x14ac:dyDescent="0.3">
      <c r="A52" s="1" t="s">
        <v>197</v>
      </c>
      <c r="B52" s="1" t="str">
        <f t="shared" ref="B52:B53" si="24">A52&amp;"("&amp;I52&amp;")："</f>
        <v>Replace(字符串;整数;整数;字符串)：</v>
      </c>
      <c r="C52" s="1" t="s">
        <v>198</v>
      </c>
      <c r="D52" s="1" t="str">
        <f t="shared" ref="D52:D53" si="25">E52&amp;"("&amp;F52&amp;")"</f>
        <v>字符串(替换后的字符串)</v>
      </c>
      <c r="E52" s="1" t="s">
        <v>118</v>
      </c>
      <c r="F52" s="1" t="s">
        <v>199</v>
      </c>
      <c r="H52" s="1">
        <v>4</v>
      </c>
      <c r="I52" s="1" t="s">
        <v>200</v>
      </c>
      <c r="J52" s="1" t="s">
        <v>201</v>
      </c>
      <c r="K52" s="2" t="s">
        <v>202</v>
      </c>
      <c r="L52" s="1" t="str">
        <f t="shared" ref="L52:L53" si="26">A52&amp;"("&amp;K52&amp;")"</f>
        <v>Replace('abcabc';1;1;'xy')</v>
      </c>
    </row>
    <row r="53" spans="1:12" s="1" customFormat="1" ht="20" customHeight="1" x14ac:dyDescent="0.3">
      <c r="A53" s="1" t="s">
        <v>203</v>
      </c>
      <c r="B53" s="1" t="str">
        <f t="shared" si="24"/>
        <v>Substitute(字符串;字符串;字符串;整数)：</v>
      </c>
      <c r="C53" s="1" t="s">
        <v>204</v>
      </c>
      <c r="D53" s="1" t="str">
        <f t="shared" si="25"/>
        <v>字符串(替换后的字符串)</v>
      </c>
      <c r="E53" s="1" t="s">
        <v>118</v>
      </c>
      <c r="F53" s="1" t="s">
        <v>199</v>
      </c>
      <c r="H53" s="1">
        <v>4</v>
      </c>
      <c r="I53" s="1" t="s">
        <v>205</v>
      </c>
      <c r="J53" s="1" t="s">
        <v>206</v>
      </c>
      <c r="K53" s="2" t="s">
        <v>207</v>
      </c>
      <c r="L53" s="1" t="str">
        <f t="shared" si="26"/>
        <v>Substitute('abcabc';'ab';'xy';1)</v>
      </c>
    </row>
    <row r="54" spans="1:12" x14ac:dyDescent="0.3">
      <c r="B54" s="3" t="s">
        <v>269</v>
      </c>
    </row>
    <row r="55" spans="1:12" s="1" customFormat="1" ht="20" customHeight="1" x14ac:dyDescent="0.3">
      <c r="A55" s="1" t="s">
        <v>208</v>
      </c>
      <c r="B55" s="1" t="str">
        <f>A55&amp;"("&amp;I55&amp;")："</f>
        <v>Abs(实数)：</v>
      </c>
      <c r="C55" s="1" t="s">
        <v>209</v>
      </c>
      <c r="D55" s="1" t="str">
        <f t="shared" ref="D55:D67" si="27">E55&amp;"("&amp;F55&amp;")"</f>
        <v>实数(负值变为正值)</v>
      </c>
      <c r="E55" s="1" t="s">
        <v>109</v>
      </c>
      <c r="F55" s="1" t="s">
        <v>210</v>
      </c>
      <c r="H55" s="1">
        <v>1</v>
      </c>
      <c r="I55" s="1" t="s">
        <v>109</v>
      </c>
      <c r="J55" s="1" t="s">
        <v>211</v>
      </c>
      <c r="K55" s="2">
        <v>-1</v>
      </c>
      <c r="L55" s="1" t="str">
        <f>A55&amp;"("&amp;K55&amp;")"</f>
        <v>Abs(-1)</v>
      </c>
    </row>
    <row r="56" spans="1:12" s="1" customFormat="1" ht="20" customHeight="1" x14ac:dyDescent="0.3">
      <c r="A56" s="1" t="s">
        <v>212</v>
      </c>
      <c r="B56" s="1" t="str">
        <f t="shared" ref="B56:B57" si="28">A56&amp;"("&amp;I56&amp;")："</f>
        <v>Cos(实数)：</v>
      </c>
      <c r="C56" s="1" t="s">
        <v>213</v>
      </c>
      <c r="D56" s="1" t="str">
        <f t="shared" si="27"/>
        <v>实数(返回con值)</v>
      </c>
      <c r="E56" s="1" t="s">
        <v>109</v>
      </c>
      <c r="F56" s="1" t="s">
        <v>214</v>
      </c>
      <c r="H56" s="1">
        <v>1</v>
      </c>
      <c r="I56" s="1" t="s">
        <v>109</v>
      </c>
      <c r="J56" s="1" t="s">
        <v>215</v>
      </c>
      <c r="K56" s="2">
        <v>3.1415926500000002</v>
      </c>
      <c r="L56" s="1" t="str">
        <f t="shared" ref="L56:L67" si="29">A56&amp;"("&amp;K56&amp;")"</f>
        <v>Cos(3.14159265)</v>
      </c>
    </row>
    <row r="57" spans="1:12" s="1" customFormat="1" ht="20" customHeight="1" x14ac:dyDescent="0.3">
      <c r="A57" s="1" t="s">
        <v>216</v>
      </c>
      <c r="B57" s="1" t="str">
        <f t="shared" si="28"/>
        <v>Sin(实数)：</v>
      </c>
      <c r="C57" s="1" t="s">
        <v>217</v>
      </c>
      <c r="D57" s="1" t="str">
        <f t="shared" si="27"/>
        <v>实数(返回sin值)</v>
      </c>
      <c r="E57" s="1" t="s">
        <v>109</v>
      </c>
      <c r="F57" s="1" t="s">
        <v>218</v>
      </c>
      <c r="H57" s="1">
        <v>1</v>
      </c>
      <c r="I57" s="1" t="s">
        <v>109</v>
      </c>
      <c r="J57" s="1" t="s">
        <v>219</v>
      </c>
      <c r="K57" s="2">
        <v>3.1415926500000002</v>
      </c>
      <c r="L57" s="1" t="str">
        <f t="shared" si="29"/>
        <v>Sin(3.14159265)</v>
      </c>
    </row>
    <row r="58" spans="1:12" s="1" customFormat="1" ht="20" customHeight="1" x14ac:dyDescent="0.3">
      <c r="A58" s="1" t="s">
        <v>220</v>
      </c>
      <c r="B58" s="1" t="str">
        <f>A58&amp;"("&amp;I58&amp;")："</f>
        <v>Tan(实数)：</v>
      </c>
      <c r="C58" s="1" t="s">
        <v>221</v>
      </c>
      <c r="D58" s="1" t="str">
        <f t="shared" si="27"/>
        <v>实数(返回tan值)</v>
      </c>
      <c r="E58" s="1" t="s">
        <v>109</v>
      </c>
      <c r="F58" s="1" t="s">
        <v>222</v>
      </c>
      <c r="H58" s="1">
        <v>1</v>
      </c>
      <c r="I58" s="1" t="s">
        <v>109</v>
      </c>
      <c r="J58" s="1" t="s">
        <v>223</v>
      </c>
      <c r="K58" s="2">
        <v>3.1415926500000002</v>
      </c>
      <c r="L58" s="1" t="str">
        <f t="shared" si="29"/>
        <v>Tan(3.14159265)</v>
      </c>
    </row>
    <row r="59" spans="1:12" s="1" customFormat="1" ht="20" customHeight="1" x14ac:dyDescent="0.3">
      <c r="A59" s="1" t="s">
        <v>224</v>
      </c>
      <c r="B59" s="1" t="str">
        <f t="shared" ref="B59:B67" si="30">A59&amp;"("&amp;I59&amp;")："</f>
        <v>Log(实数)：</v>
      </c>
      <c r="C59" s="1" t="s">
        <v>225</v>
      </c>
      <c r="D59" s="1" t="str">
        <f t="shared" si="27"/>
        <v>实数(返回以10为底数的对数)</v>
      </c>
      <c r="E59" s="1" t="s">
        <v>109</v>
      </c>
      <c r="F59" s="1" t="s">
        <v>226</v>
      </c>
      <c r="H59" s="1">
        <v>1</v>
      </c>
      <c r="I59" s="1" t="s">
        <v>109</v>
      </c>
      <c r="J59" s="1" t="s">
        <v>227</v>
      </c>
      <c r="K59" s="2">
        <v>10</v>
      </c>
      <c r="L59" s="1" t="str">
        <f t="shared" si="29"/>
        <v>Log(10)</v>
      </c>
    </row>
    <row r="60" spans="1:12" s="1" customFormat="1" ht="20" customHeight="1" x14ac:dyDescent="0.3">
      <c r="A60" s="1" t="s">
        <v>228</v>
      </c>
      <c r="B60" s="1" t="str">
        <f t="shared" si="30"/>
        <v>Ln(实数)：</v>
      </c>
      <c r="C60" s="1" t="s">
        <v>229</v>
      </c>
      <c r="D60" s="1" t="str">
        <f t="shared" si="27"/>
        <v>实数(返回参数的自然对数)</v>
      </c>
      <c r="E60" s="1" t="s">
        <v>109</v>
      </c>
      <c r="F60" s="1" t="s">
        <v>230</v>
      </c>
      <c r="H60" s="1">
        <v>1</v>
      </c>
      <c r="I60" s="1" t="s">
        <v>109</v>
      </c>
      <c r="J60" s="1" t="s">
        <v>231</v>
      </c>
      <c r="K60" s="2">
        <v>2.71828183</v>
      </c>
      <c r="L60" s="1" t="str">
        <f t="shared" si="29"/>
        <v>Ln(2.71828183)</v>
      </c>
    </row>
    <row r="61" spans="1:12" s="1" customFormat="1" ht="20" customHeight="1" x14ac:dyDescent="0.3">
      <c r="A61" s="1" t="s">
        <v>232</v>
      </c>
      <c r="B61" s="1" t="str">
        <f t="shared" si="30"/>
        <v>Sqrt(实数)：</v>
      </c>
      <c r="C61" s="1" t="s">
        <v>233</v>
      </c>
      <c r="D61" s="1" t="str">
        <f t="shared" si="27"/>
        <v>实数(返回平方根值)</v>
      </c>
      <c r="E61" s="1" t="s">
        <v>109</v>
      </c>
      <c r="F61" s="1" t="s">
        <v>234</v>
      </c>
      <c r="H61" s="1">
        <v>1</v>
      </c>
      <c r="I61" s="1" t="s">
        <v>109</v>
      </c>
      <c r="J61" s="1" t="s">
        <v>235</v>
      </c>
      <c r="K61" s="2">
        <v>4</v>
      </c>
      <c r="L61" s="1" t="str">
        <f t="shared" si="29"/>
        <v>Sqrt(4)</v>
      </c>
    </row>
    <row r="62" spans="1:12" s="1" customFormat="1" ht="20" customHeight="1" x14ac:dyDescent="0.3">
      <c r="A62" s="1" t="s">
        <v>236</v>
      </c>
      <c r="B62" s="1" t="str">
        <f t="shared" si="30"/>
        <v>Power(实数;实数)：</v>
      </c>
      <c r="C62" s="1" t="s">
        <v>237</v>
      </c>
      <c r="D62" s="1" t="str">
        <f t="shared" si="27"/>
        <v>实数(返回平方值)</v>
      </c>
      <c r="E62" s="1" t="s">
        <v>109</v>
      </c>
      <c r="F62" s="1" t="s">
        <v>238</v>
      </c>
      <c r="H62" s="1">
        <v>2</v>
      </c>
      <c r="I62" s="1" t="s">
        <v>176</v>
      </c>
      <c r="J62" s="1" t="s">
        <v>239</v>
      </c>
      <c r="K62" s="2" t="s">
        <v>240</v>
      </c>
      <c r="L62" s="1" t="str">
        <f t="shared" si="29"/>
        <v>Power(2;3)</v>
      </c>
    </row>
    <row r="63" spans="1:12" s="1" customFormat="1" ht="20" customHeight="1" x14ac:dyDescent="0.3">
      <c r="A63" s="1" t="s">
        <v>241</v>
      </c>
      <c r="B63" s="1" t="str">
        <f t="shared" si="30"/>
        <v>Round(实数;整数)：</v>
      </c>
      <c r="C63" s="1" t="s">
        <v>242</v>
      </c>
      <c r="D63" s="1" t="str">
        <f t="shared" si="27"/>
        <v>实数(四舍五入的结果)</v>
      </c>
      <c r="E63" s="1" t="s">
        <v>109</v>
      </c>
      <c r="F63" s="1" t="s">
        <v>243</v>
      </c>
      <c r="H63" s="1">
        <v>2</v>
      </c>
      <c r="I63" s="1" t="s">
        <v>244</v>
      </c>
      <c r="J63" s="1" t="s">
        <v>245</v>
      </c>
      <c r="K63" s="2" t="s">
        <v>246</v>
      </c>
      <c r="L63" s="1" t="str">
        <f t="shared" si="29"/>
        <v>Round(1.555;0)</v>
      </c>
    </row>
    <row r="64" spans="1:12" s="1" customFormat="1" ht="20" customHeight="1" x14ac:dyDescent="0.3">
      <c r="A64" s="1" t="s">
        <v>247</v>
      </c>
      <c r="B64" s="1" t="str">
        <f t="shared" si="30"/>
        <v>Roundup(实数;整数)：</v>
      </c>
      <c r="C64" s="1" t="s">
        <v>248</v>
      </c>
      <c r="D64" s="1" t="str">
        <f t="shared" si="27"/>
        <v>实数(保留指定小数位数（尾数大于0则在末位加1）)</v>
      </c>
      <c r="E64" s="1" t="s">
        <v>109</v>
      </c>
      <c r="F64" s="1" t="s">
        <v>248</v>
      </c>
      <c r="H64" s="1">
        <v>2</v>
      </c>
      <c r="I64" s="1" t="s">
        <v>244</v>
      </c>
      <c r="J64" s="1" t="s">
        <v>245</v>
      </c>
      <c r="K64" s="2" t="s">
        <v>246</v>
      </c>
      <c r="L64" s="1" t="str">
        <f t="shared" si="29"/>
        <v>Roundup(1.555;0)</v>
      </c>
    </row>
    <row r="65" spans="1:12" s="1" customFormat="1" ht="20" customHeight="1" x14ac:dyDescent="0.3">
      <c r="A65" s="1" t="s">
        <v>249</v>
      </c>
      <c r="B65" s="1" t="str">
        <f t="shared" si="30"/>
        <v>Truncate(实数;整数)：</v>
      </c>
      <c r="C65" s="1" t="s">
        <v>250</v>
      </c>
      <c r="D65" s="1" t="str">
        <f t="shared" si="27"/>
        <v>实数(舍去后结果)</v>
      </c>
      <c r="E65" s="1" t="s">
        <v>109</v>
      </c>
      <c r="F65" s="1" t="s">
        <v>251</v>
      </c>
      <c r="H65" s="1">
        <v>2</v>
      </c>
      <c r="I65" s="1" t="s">
        <v>244</v>
      </c>
      <c r="J65" s="1" t="s">
        <v>252</v>
      </c>
      <c r="K65" s="2" t="s">
        <v>246</v>
      </c>
      <c r="L65" s="1" t="str">
        <f t="shared" si="29"/>
        <v>Truncate(1.555;0)</v>
      </c>
    </row>
    <row r="66" spans="1:12" s="1" customFormat="1" ht="20" customHeight="1" x14ac:dyDescent="0.3">
      <c r="A66" s="1" t="s">
        <v>253</v>
      </c>
      <c r="B66" s="1" t="str">
        <f t="shared" si="30"/>
        <v>MaxValue(实数;实数)：</v>
      </c>
      <c r="C66" s="1" t="s">
        <v>254</v>
      </c>
      <c r="D66" s="1" t="str">
        <f t="shared" si="27"/>
        <v>实数(两个值中较大的值。)</v>
      </c>
      <c r="E66" s="1" t="s">
        <v>109</v>
      </c>
      <c r="F66" s="1" t="s">
        <v>255</v>
      </c>
      <c r="H66" s="1">
        <v>2</v>
      </c>
      <c r="I66" s="1" t="s">
        <v>176</v>
      </c>
      <c r="J66" s="1" t="s">
        <v>256</v>
      </c>
      <c r="K66" s="2" t="s">
        <v>257</v>
      </c>
      <c r="L66" s="1" t="str">
        <f t="shared" si="29"/>
        <v>MaxValue(1.2;3.4)</v>
      </c>
    </row>
    <row r="67" spans="1:12" s="1" customFormat="1" ht="19.5" customHeight="1" x14ac:dyDescent="0.3">
      <c r="A67" s="1" t="s">
        <v>258</v>
      </c>
      <c r="B67" s="1" t="str">
        <f t="shared" si="30"/>
        <v>MinValue(实数;实数)：</v>
      </c>
      <c r="C67" s="1" t="s">
        <v>259</v>
      </c>
      <c r="D67" s="1" t="str">
        <f t="shared" si="27"/>
        <v>实数(两个值中较小的值。)</v>
      </c>
      <c r="E67" s="1" t="s">
        <v>109</v>
      </c>
      <c r="F67" s="1" t="s">
        <v>260</v>
      </c>
      <c r="H67" s="1">
        <v>2</v>
      </c>
      <c r="I67" s="1" t="s">
        <v>176</v>
      </c>
      <c r="J67" s="1" t="s">
        <v>256</v>
      </c>
      <c r="K67" s="2" t="s">
        <v>257</v>
      </c>
      <c r="L67" s="1" t="str">
        <f t="shared" si="29"/>
        <v>MinValue(1.2;3.4)</v>
      </c>
    </row>
    <row r="68" spans="1:12" s="1" customFormat="1" ht="20" customHeight="1" x14ac:dyDescent="0.3">
      <c r="A68" s="1" t="s">
        <v>261</v>
      </c>
      <c r="B68" s="1" t="str">
        <f>A68&amp;"("&amp;I68&amp;")："</f>
        <v>NormalizeAscend(实数)：</v>
      </c>
      <c r="C68" s="1" t="s">
        <v>262</v>
      </c>
      <c r="D68" s="1" t="str">
        <f>E68&amp;"("&amp;F68&amp;")"</f>
        <v>实数(正规化(x=0则y=0、x＝±∞则y趋于1))</v>
      </c>
      <c r="E68" s="1" t="s">
        <v>109</v>
      </c>
      <c r="F68" s="1" t="s">
        <v>263</v>
      </c>
      <c r="H68" s="1">
        <v>1</v>
      </c>
      <c r="I68" s="1" t="s">
        <v>109</v>
      </c>
      <c r="J68" s="1" t="s">
        <v>264</v>
      </c>
      <c r="K68" s="2">
        <v>2</v>
      </c>
      <c r="L68" s="1" t="str">
        <f>A68&amp;"("&amp;K68&amp;")"</f>
        <v>NormalizeAscend(2)</v>
      </c>
    </row>
    <row r="69" spans="1:12" s="1" customFormat="1" ht="20" customHeight="1" x14ac:dyDescent="0.3">
      <c r="A69" s="1" t="s">
        <v>265</v>
      </c>
      <c r="B69" s="1" t="str">
        <f>A69&amp;"("&amp;I69&amp;")："</f>
        <v>NormalizeDescend(实数)：</v>
      </c>
      <c r="C69" s="1" t="s">
        <v>266</v>
      </c>
      <c r="D69" s="1" t="str">
        <f>E69&amp;"("&amp;F69&amp;")"</f>
        <v>实数(正规化(x=0则y=1、x＝±∞则y趋于0))</v>
      </c>
      <c r="E69" s="1" t="s">
        <v>109</v>
      </c>
      <c r="F69" s="1" t="s">
        <v>267</v>
      </c>
      <c r="H69" s="1">
        <v>1</v>
      </c>
      <c r="I69" s="1" t="s">
        <v>109</v>
      </c>
      <c r="J69" s="1" t="s">
        <v>268</v>
      </c>
      <c r="K69" s="2">
        <v>2</v>
      </c>
      <c r="L69" s="1" t="str">
        <f>A69&amp;"("&amp;K69&amp;")"</f>
        <v>NormalizeDescend(2)</v>
      </c>
    </row>
    <row r="70" spans="1:12" s="1" customFormat="1" ht="20" customHeight="1" x14ac:dyDescent="0.3">
      <c r="B70" s="4" t="s">
        <v>478</v>
      </c>
      <c r="K70" s="2"/>
    </row>
    <row r="71" spans="1:12" s="1" customFormat="1" ht="20" customHeight="1" x14ac:dyDescent="0.3">
      <c r="A71" s="1" t="s">
        <v>468</v>
      </c>
      <c r="B71" s="1" t="str">
        <f t="shared" ref="B71:B72" si="31">A71&amp;"("&amp;I71&amp;")："</f>
        <v>CheckAllContents_And(整数;字符串;属性)：</v>
      </c>
      <c r="C71" s="1" t="s">
        <v>469</v>
      </c>
      <c r="D71" s="1" t="str">
        <f t="shared" ref="D71:D72" si="32">E71&amp;"("&amp;F71&amp;")"</f>
        <v>布尔(返回AND运算结果“真”/“假”。)</v>
      </c>
      <c r="E71" s="1" t="s">
        <v>181</v>
      </c>
      <c r="F71" s="1" t="s">
        <v>470</v>
      </c>
      <c r="H71" s="1">
        <v>3</v>
      </c>
      <c r="I71" s="1" t="s">
        <v>471</v>
      </c>
      <c r="J71" s="1" t="s">
        <v>472</v>
      </c>
      <c r="K71" s="2" t="s">
        <v>473</v>
      </c>
      <c r="L71" s="1" t="str">
        <f t="shared" ref="L71:L72" si="33">A71&amp;"("&amp;K71&amp;")"</f>
        <v>CheckAllContents_And(Me.Comment;'==';'ABC')</v>
      </c>
    </row>
    <row r="72" spans="1:12" s="1" customFormat="1" ht="20" customHeight="1" x14ac:dyDescent="0.3">
      <c r="A72" s="1" t="s">
        <v>474</v>
      </c>
      <c r="B72" s="1" t="str">
        <f t="shared" si="31"/>
        <v>CheckAllContents_Or(整数;字符串;属性)：</v>
      </c>
      <c r="C72" s="1" t="s">
        <v>475</v>
      </c>
      <c r="D72" s="1" t="str">
        <f t="shared" si="32"/>
        <v>布尔(返回OR运算结果“真”/“假”。)</v>
      </c>
      <c r="E72" s="1" t="s">
        <v>181</v>
      </c>
      <c r="F72" s="1" t="s">
        <v>476</v>
      </c>
      <c r="H72" s="1">
        <v>3</v>
      </c>
      <c r="I72" s="1" t="s">
        <v>471</v>
      </c>
      <c r="J72" s="1" t="s">
        <v>477</v>
      </c>
      <c r="K72" s="2" t="s">
        <v>473</v>
      </c>
      <c r="L72" s="1" t="str">
        <f t="shared" si="33"/>
        <v>CheckAllContents_Or(Me.Comment;'==';'ABC')</v>
      </c>
    </row>
    <row r="73" spans="1:12" x14ac:dyDescent="0.3">
      <c r="B73" s="3" t="s">
        <v>347</v>
      </c>
      <c r="C73" s="6" t="s">
        <v>270</v>
      </c>
    </row>
    <row r="74" spans="1:12" s="1" customFormat="1" ht="20" customHeight="1" x14ac:dyDescent="0.3">
      <c r="A74" s="1" t="s">
        <v>271</v>
      </c>
      <c r="B74" s="1" t="str">
        <f t="shared" ref="B74:B75" si="34">A74&amp;"("&amp;I74&amp;")："</f>
        <v>GetObjectName(对象)：</v>
      </c>
      <c r="C74" s="1" t="s">
        <v>272</v>
      </c>
      <c r="D74" s="1" t="str">
        <f t="shared" ref="D74:D78" si="35">E74&amp;"("&amp;F74&amp;")"</f>
        <v>字符串(对象名称)</v>
      </c>
      <c r="E74" s="1" t="s">
        <v>118</v>
      </c>
      <c r="F74" s="1" t="s">
        <v>273</v>
      </c>
      <c r="H74" s="1">
        <v>1</v>
      </c>
      <c r="I74" s="1" t="s">
        <v>274</v>
      </c>
      <c r="J74" s="1" t="s">
        <v>275</v>
      </c>
      <c r="K74" s="2" t="s">
        <v>276</v>
      </c>
      <c r="L74" s="1" t="str">
        <f t="shared" ref="L74:L78" si="36">A74&amp;"("&amp;K74&amp;")"</f>
        <v>GetObjectName(Me)</v>
      </c>
    </row>
    <row r="75" spans="1:12" s="1" customFormat="1" ht="20" customHeight="1" x14ac:dyDescent="0.3">
      <c r="A75" s="1" t="s">
        <v>277</v>
      </c>
      <c r="B75" s="1" t="str">
        <f t="shared" si="34"/>
        <v>GetClassDef(整数)：</v>
      </c>
      <c r="C75" s="1" t="s">
        <v>282</v>
      </c>
      <c r="D75" s="1" t="str">
        <f t="shared" si="35"/>
        <v>对象(类定义对象)</v>
      </c>
      <c r="E75" s="1" t="s">
        <v>274</v>
      </c>
      <c r="F75" s="1" t="s">
        <v>279</v>
      </c>
      <c r="G75" s="1">
        <v>2</v>
      </c>
      <c r="H75" s="1">
        <v>1</v>
      </c>
      <c r="I75" s="1" t="s">
        <v>15</v>
      </c>
      <c r="J75" s="1" t="s">
        <v>283</v>
      </c>
      <c r="K75" s="2">
        <v>16</v>
      </c>
      <c r="L75" s="1" t="str">
        <f t="shared" si="36"/>
        <v>GetClassDef(16)</v>
      </c>
    </row>
    <row r="76" spans="1:12" s="1" customFormat="1" ht="20" customHeight="1" x14ac:dyDescent="0.3">
      <c r="A76" s="1" t="s">
        <v>277</v>
      </c>
      <c r="B76" s="1" t="str">
        <f>A76&amp;"("&amp;I76&amp;")："</f>
        <v>GetClassDef(字符串)：</v>
      </c>
      <c r="C76" s="1" t="s">
        <v>278</v>
      </c>
      <c r="D76" s="1" t="str">
        <f t="shared" si="35"/>
        <v>对象(类定义对象)</v>
      </c>
      <c r="E76" s="1" t="s">
        <v>274</v>
      </c>
      <c r="F76" s="1" t="s">
        <v>279</v>
      </c>
      <c r="G76" s="1">
        <v>2</v>
      </c>
      <c r="H76" s="1">
        <v>1</v>
      </c>
      <c r="I76" s="1" t="s">
        <v>118</v>
      </c>
      <c r="J76" s="1" t="s">
        <v>280</v>
      </c>
      <c r="K76" s="2" t="s">
        <v>281</v>
      </c>
      <c r="L76" s="1" t="str">
        <f t="shared" si="36"/>
        <v>GetClassDef('Order')</v>
      </c>
    </row>
    <row r="77" spans="1:12" s="1" customFormat="1" ht="20" customHeight="1" x14ac:dyDescent="0.3">
      <c r="A77" s="1" t="s">
        <v>284</v>
      </c>
      <c r="B77" s="1" t="str">
        <f t="shared" ref="B77:B78" si="37">A77&amp;"("&amp;I77&amp;")："</f>
        <v>GetPropertyDef(整数)：</v>
      </c>
      <c r="C77" s="1" t="s">
        <v>285</v>
      </c>
      <c r="D77" s="1" t="str">
        <f t="shared" si="35"/>
        <v>对象(属性定义对象)</v>
      </c>
      <c r="E77" s="1" t="s">
        <v>274</v>
      </c>
      <c r="F77" s="1" t="s">
        <v>286</v>
      </c>
      <c r="G77" s="1">
        <v>3</v>
      </c>
      <c r="H77" s="1">
        <v>1</v>
      </c>
      <c r="I77" s="1" t="s">
        <v>15</v>
      </c>
      <c r="J77" s="1" t="s">
        <v>287</v>
      </c>
      <c r="K77" s="2">
        <v>1194</v>
      </c>
      <c r="L77" s="1" t="str">
        <f t="shared" si="36"/>
        <v>GetPropertyDef(1194)</v>
      </c>
    </row>
    <row r="78" spans="1:12" s="1" customFormat="1" ht="20" customHeight="1" x14ac:dyDescent="0.3">
      <c r="A78" s="1" t="s">
        <v>288</v>
      </c>
      <c r="B78" s="1" t="str">
        <f t="shared" si="37"/>
        <v>GetEnumName(整数)：</v>
      </c>
      <c r="C78" s="1" t="s">
        <v>289</v>
      </c>
      <c r="D78" s="1" t="str">
        <f t="shared" si="35"/>
        <v>字符串(枚举的字符串)</v>
      </c>
      <c r="E78" s="1" t="s">
        <v>118</v>
      </c>
      <c r="F78" s="1" t="s">
        <v>290</v>
      </c>
      <c r="H78" s="1">
        <v>1</v>
      </c>
      <c r="I78" s="1" t="s">
        <v>15</v>
      </c>
      <c r="J78" s="1" t="s">
        <v>291</v>
      </c>
      <c r="K78" s="2" t="s">
        <v>292</v>
      </c>
      <c r="L78" s="1" t="str">
        <f t="shared" si="36"/>
        <v>GetEnumName(ME.Order.Type)</v>
      </c>
    </row>
    <row r="79" spans="1:12" x14ac:dyDescent="0.3">
      <c r="B79" s="3" t="s">
        <v>348</v>
      </c>
    </row>
    <row r="80" spans="1:12" s="1" customFormat="1" ht="20" customHeight="1" x14ac:dyDescent="0.3">
      <c r="A80" s="1" t="s">
        <v>293</v>
      </c>
      <c r="B80" s="1" t="str">
        <f>A80&amp;"("&amp;I80&amp;")："</f>
        <v>PropCount(不带符号整数)：</v>
      </c>
      <c r="C80" s="1" t="s">
        <v>294</v>
      </c>
      <c r="D80" s="1" t="str">
        <f>E80&amp;"("&amp;F80&amp;")"</f>
        <v>整数(给定属性的要素个数)</v>
      </c>
      <c r="E80" s="1" t="s">
        <v>15</v>
      </c>
      <c r="F80" s="1" t="s">
        <v>295</v>
      </c>
      <c r="H80" s="1">
        <v>1</v>
      </c>
      <c r="I80" s="1" t="s">
        <v>296</v>
      </c>
      <c r="J80" s="1" t="s">
        <v>297</v>
      </c>
      <c r="K80" s="2" t="s">
        <v>298</v>
      </c>
      <c r="L80" s="1" t="str">
        <f>A80&amp;"("&amp;K80&amp;")"</f>
        <v>PropCount(Me.Child)</v>
      </c>
    </row>
    <row r="81" spans="1:12" s="1" customFormat="1" ht="20" customHeight="1" x14ac:dyDescent="0.3">
      <c r="A81" s="1" t="s">
        <v>299</v>
      </c>
      <c r="B81" s="1" t="str">
        <f t="shared" ref="B81:B90" si="38">A81&amp;"("&amp;I81&amp;")："</f>
        <v>SetProps(对象;表达式)：</v>
      </c>
      <c r="C81" s="1" t="s">
        <v>300</v>
      </c>
      <c r="D81" s="1" t="str">
        <f t="shared" ref="D81:D90" si="39">E81&amp;"("&amp;F81&amp;")"</f>
        <v>布尔(属性正常设置时返回TRUE)</v>
      </c>
      <c r="E81" s="1" t="s">
        <v>181</v>
      </c>
      <c r="F81" s="1" t="s">
        <v>301</v>
      </c>
      <c r="H81" s="1">
        <v>2</v>
      </c>
      <c r="I81" s="1" t="s">
        <v>302</v>
      </c>
      <c r="J81" s="1" t="s">
        <v>303</v>
      </c>
      <c r="K81" s="2" t="s">
        <v>304</v>
      </c>
      <c r="L81" s="1" t="str">
        <f t="shared" ref="L81:L90" si="40">A81&amp;"("&amp;K81&amp;")"</f>
        <v>SetProps(ME.LeftRecursiveOrder;TARGET.Qty=50)</v>
      </c>
    </row>
    <row r="82" spans="1:12" s="1" customFormat="1" ht="20" customHeight="1" x14ac:dyDescent="0.3">
      <c r="A82" s="1" t="s">
        <v>305</v>
      </c>
      <c r="B82" s="1" t="str">
        <f t="shared" si="38"/>
        <v>SetPropsIF(对象;表达式;表达式)：</v>
      </c>
      <c r="C82" s="1" t="s">
        <v>306</v>
      </c>
      <c r="D82" s="1" t="str">
        <f t="shared" si="39"/>
        <v>布尔(属性正常设置时返回TRUE)</v>
      </c>
      <c r="E82" s="1" t="s">
        <v>181</v>
      </c>
      <c r="F82" s="1" t="s">
        <v>301</v>
      </c>
      <c r="H82" s="1">
        <v>3</v>
      </c>
      <c r="I82" s="1" t="s">
        <v>307</v>
      </c>
      <c r="J82" s="1" t="s">
        <v>308</v>
      </c>
      <c r="K82" s="2" t="s">
        <v>309</v>
      </c>
      <c r="L82" s="1" t="str">
        <f t="shared" si="40"/>
        <v>SetPropsIF(ME.LeftRecursiveOrder;TARGET.IsReplenishmentOrder=='1';TARGET.Qty=50)</v>
      </c>
    </row>
    <row r="83" spans="1:12" s="1" customFormat="1" ht="20" customHeight="1" x14ac:dyDescent="0.3">
      <c r="A83" s="1" t="s">
        <v>310</v>
      </c>
      <c r="B83" s="1" t="str">
        <f t="shared" si="38"/>
        <v>GetApplicableNumSpec(整数;对象)：</v>
      </c>
      <c r="C83" s="1" t="s">
        <v>311</v>
      </c>
      <c r="D83" s="1" t="str">
        <f t="shared" si="39"/>
        <v>实数(适用于工作的数值规格。)</v>
      </c>
      <c r="E83" s="1" t="s">
        <v>109</v>
      </c>
      <c r="F83" s="1" t="s">
        <v>312</v>
      </c>
      <c r="H83" s="1">
        <v>2</v>
      </c>
      <c r="I83" s="1" t="s">
        <v>313</v>
      </c>
      <c r="J83" s="1" t="s">
        <v>314</v>
      </c>
      <c r="K83" s="2" t="s">
        <v>315</v>
      </c>
      <c r="L83" s="1" t="str">
        <f t="shared" si="40"/>
        <v>GetApplicableNumSpec(1;Me.Operation)</v>
      </c>
    </row>
    <row r="84" spans="1:12" s="1" customFormat="1" ht="20" customHeight="1" x14ac:dyDescent="0.3">
      <c r="A84" s="1" t="s">
        <v>316</v>
      </c>
      <c r="B84" s="1" t="str">
        <f t="shared" si="38"/>
        <v>GetApplicableSpec(整数;对象)：</v>
      </c>
      <c r="C84" s="1" t="s">
        <v>317</v>
      </c>
      <c r="D84" s="1" t="str">
        <f t="shared" si="39"/>
        <v>对象(适用于工作的规格。)</v>
      </c>
      <c r="E84" s="1" t="s">
        <v>274</v>
      </c>
      <c r="F84" s="1" t="s">
        <v>318</v>
      </c>
      <c r="G84" s="1">
        <v>30</v>
      </c>
      <c r="H84" s="1">
        <v>2</v>
      </c>
      <c r="I84" s="1" t="s">
        <v>313</v>
      </c>
      <c r="J84" s="1" t="s">
        <v>319</v>
      </c>
      <c r="K84" s="2" t="s">
        <v>315</v>
      </c>
      <c r="L84" s="1" t="str">
        <f t="shared" si="40"/>
        <v>GetApplicableSpec(1;Me.Operation)</v>
      </c>
    </row>
    <row r="85" spans="1:12" s="1" customFormat="1" ht="20" customHeight="1" x14ac:dyDescent="0.3">
      <c r="A85" s="1" t="s">
        <v>320</v>
      </c>
      <c r="B85" s="1" t="str">
        <f t="shared" si="38"/>
        <v>GetRootChildListString()：</v>
      </c>
      <c r="C85" s="1" t="s">
        <v>321</v>
      </c>
      <c r="D85" s="1" t="str">
        <f t="shared" si="39"/>
        <v>字符串(用逗号分隔子对象的字符串)</v>
      </c>
      <c r="E85" s="1" t="s">
        <v>118</v>
      </c>
      <c r="F85" s="1" t="s">
        <v>322</v>
      </c>
      <c r="H85" s="1">
        <v>0</v>
      </c>
      <c r="K85" s="2"/>
      <c r="L85" s="1" t="str">
        <f t="shared" si="40"/>
        <v>GetRootChildListString()</v>
      </c>
    </row>
    <row r="86" spans="1:12" s="1" customFormat="1" ht="20" customHeight="1" x14ac:dyDescent="0.3">
      <c r="A86" s="1" t="s">
        <v>323</v>
      </c>
      <c r="B86" s="1" t="str">
        <f t="shared" si="38"/>
        <v>Equal(属性)：</v>
      </c>
      <c r="C86" s="1" t="s">
        <v>324</v>
      </c>
      <c r="D86" s="1" t="str">
        <f t="shared" si="39"/>
        <v>布尔(相等返回TRUE、不然返回FALSE)</v>
      </c>
      <c r="E86" s="1" t="s">
        <v>181</v>
      </c>
      <c r="F86" s="1" t="s">
        <v>325</v>
      </c>
      <c r="H86" s="1">
        <v>1</v>
      </c>
      <c r="I86" s="1" t="s">
        <v>326</v>
      </c>
      <c r="J86" s="1" t="s">
        <v>327</v>
      </c>
      <c r="K86" s="2" t="s">
        <v>328</v>
      </c>
      <c r="L86" s="1" t="str">
        <f t="shared" si="40"/>
        <v>Equal(Me.Order.Customer)</v>
      </c>
    </row>
    <row r="87" spans="1:12" s="1" customFormat="1" ht="20" customHeight="1" x14ac:dyDescent="0.3">
      <c r="A87" s="1" t="s">
        <v>329</v>
      </c>
      <c r="B87" s="1" t="str">
        <f t="shared" si="38"/>
        <v>Exist(属性)：</v>
      </c>
      <c r="C87" s="1" t="s">
        <v>330</v>
      </c>
      <c r="D87" s="1" t="str">
        <f t="shared" si="39"/>
        <v>布尔(属性存在且有效的话返回TRUE，否则返回FALSE。)</v>
      </c>
      <c r="E87" s="1" t="s">
        <v>181</v>
      </c>
      <c r="F87" s="1" t="s">
        <v>331</v>
      </c>
      <c r="H87" s="1">
        <v>1</v>
      </c>
      <c r="I87" s="1" t="s">
        <v>326</v>
      </c>
      <c r="J87" s="1" t="s">
        <v>332</v>
      </c>
      <c r="K87" s="2" t="s">
        <v>298</v>
      </c>
      <c r="L87" s="1" t="str">
        <f t="shared" si="40"/>
        <v>Exist(Me.Child)</v>
      </c>
    </row>
    <row r="88" spans="1:12" s="1" customFormat="1" ht="20" customHeight="1" x14ac:dyDescent="0.3">
      <c r="A88" s="1" t="s">
        <v>329</v>
      </c>
      <c r="B88" s="1" t="str">
        <f t="shared" si="38"/>
        <v>Exist(属性;布尔)：</v>
      </c>
      <c r="C88" s="1" t="s">
        <v>333</v>
      </c>
      <c r="D88" s="1" t="str">
        <f t="shared" si="39"/>
        <v>布尔(属性存在且有效的话返回TRUE，否则返回FALSE。)</v>
      </c>
      <c r="E88" s="1" t="s">
        <v>181</v>
      </c>
      <c r="F88" s="1" t="s">
        <v>331</v>
      </c>
      <c r="H88" s="1">
        <v>2</v>
      </c>
      <c r="I88" s="1" t="s">
        <v>334</v>
      </c>
      <c r="J88" s="1" t="s">
        <v>335</v>
      </c>
      <c r="K88" s="2" t="s">
        <v>336</v>
      </c>
      <c r="L88" s="1" t="str">
        <f t="shared" si="40"/>
        <v>Exist(Me.Child;FALSE)</v>
      </c>
    </row>
    <row r="89" spans="1:12" s="1" customFormat="1" ht="20" customHeight="1" x14ac:dyDescent="0.3">
      <c r="A89" s="1" t="s">
        <v>337</v>
      </c>
      <c r="B89" s="1" t="str">
        <f t="shared" si="38"/>
        <v>ExistIF(字符串;字符串)：</v>
      </c>
      <c r="C89" s="1" t="s">
        <v>338</v>
      </c>
      <c r="D89" s="1" t="str">
        <f t="shared" si="39"/>
        <v>布尔(存在满足条件的对象的话返回TRUE，否则返回FALSE。)</v>
      </c>
      <c r="E89" s="1" t="s">
        <v>181</v>
      </c>
      <c r="F89" s="1" t="s">
        <v>339</v>
      </c>
      <c r="H89" s="1">
        <v>2</v>
      </c>
      <c r="I89" s="1" t="s">
        <v>99</v>
      </c>
      <c r="J89" s="1" t="s">
        <v>340</v>
      </c>
      <c r="K89" s="2" t="s">
        <v>341</v>
      </c>
      <c r="L89" s="1" t="str">
        <f t="shared" si="40"/>
        <v>ExistIF('Order';Target.Qty &gt; 50)</v>
      </c>
    </row>
    <row r="90" spans="1:12" s="1" customFormat="1" ht="20" customHeight="1" x14ac:dyDescent="0.3">
      <c r="A90" s="1" t="s">
        <v>342</v>
      </c>
      <c r="B90" s="1" t="str">
        <f t="shared" si="38"/>
        <v>FValid(布尔)：</v>
      </c>
      <c r="C90" s="1" t="s">
        <v>343</v>
      </c>
      <c r="D90" s="1" t="str">
        <f t="shared" si="39"/>
        <v>布尔(属性存在且有效就返回TRUE，否则返回FALSE)</v>
      </c>
      <c r="E90" s="1" t="s">
        <v>181</v>
      </c>
      <c r="F90" s="1" t="s">
        <v>344</v>
      </c>
      <c r="H90" s="1">
        <v>1</v>
      </c>
      <c r="I90" s="1" t="s">
        <v>181</v>
      </c>
      <c r="J90" s="1" t="s">
        <v>345</v>
      </c>
      <c r="K90" s="2" t="s">
        <v>346</v>
      </c>
      <c r="L90" s="1" t="str">
        <f t="shared" si="40"/>
        <v>FValid(Me.Child[1])</v>
      </c>
    </row>
    <row r="91" spans="1:12" x14ac:dyDescent="0.3">
      <c r="B91" s="3" t="s">
        <v>401</v>
      </c>
      <c r="C91" s="6" t="s">
        <v>389</v>
      </c>
    </row>
    <row r="92" spans="1:12" s="1" customFormat="1" ht="20" customHeight="1" x14ac:dyDescent="0.3">
      <c r="A92" s="1" t="s">
        <v>349</v>
      </c>
      <c r="B92" s="1" t="str">
        <f t="shared" ref="B92:B104" si="41">A92&amp;"("&amp;I92&amp;")："</f>
        <v>CountIF(字符串;字符串)：</v>
      </c>
      <c r="C92" s="1" t="s">
        <v>350</v>
      </c>
      <c r="D92" s="1" t="str">
        <f t="shared" ref="D92:D96" si="42">E92&amp;"("&amp;F92&amp;")"</f>
        <v>整数(满足条件的元素个数)</v>
      </c>
      <c r="E92" s="1" t="s">
        <v>15</v>
      </c>
      <c r="F92" s="1" t="s">
        <v>351</v>
      </c>
      <c r="H92" s="1">
        <v>2</v>
      </c>
      <c r="I92" s="1" t="s">
        <v>99</v>
      </c>
      <c r="J92" s="1" t="s">
        <v>352</v>
      </c>
      <c r="K92" s="2" t="s">
        <v>341</v>
      </c>
      <c r="L92" s="1" t="str">
        <f t="shared" ref="L92:L104" si="43">A92&amp;"("&amp;K92&amp;")"</f>
        <v>CountIF('Order';Target.Qty &gt; 50)</v>
      </c>
    </row>
    <row r="93" spans="1:12" s="1" customFormat="1" ht="20" customHeight="1" x14ac:dyDescent="0.3">
      <c r="A93" s="1" t="s">
        <v>353</v>
      </c>
      <c r="B93" s="1" t="str">
        <f t="shared" si="41"/>
        <v>Sum(字符串;字符串)：</v>
      </c>
      <c r="C93" s="1" t="s">
        <v>354</v>
      </c>
      <c r="D93" s="1" t="str">
        <f t="shared" si="42"/>
        <v>实数(对象属性值的合计)</v>
      </c>
      <c r="E93" s="1" t="s">
        <v>109</v>
      </c>
      <c r="F93" s="1" t="s">
        <v>355</v>
      </c>
      <c r="H93" s="1">
        <v>2</v>
      </c>
      <c r="I93" s="1" t="s">
        <v>99</v>
      </c>
      <c r="J93" s="1" t="s">
        <v>356</v>
      </c>
      <c r="K93" s="2" t="s">
        <v>357</v>
      </c>
      <c r="L93" s="1" t="str">
        <f t="shared" si="43"/>
        <v>Sum('Order';Target.Qty)</v>
      </c>
    </row>
    <row r="94" spans="1:12" s="1" customFormat="1" ht="20" customHeight="1" x14ac:dyDescent="0.3">
      <c r="A94" s="1" t="s">
        <v>358</v>
      </c>
      <c r="B94" s="1" t="str">
        <f t="shared" si="41"/>
        <v>SumIF(字符串;字符串;字符串)：</v>
      </c>
      <c r="C94" s="1" t="s">
        <v>359</v>
      </c>
      <c r="D94" s="1" t="str">
        <f t="shared" si="42"/>
        <v>实数(对象属性值的合计)</v>
      </c>
      <c r="E94" s="1" t="s">
        <v>109</v>
      </c>
      <c r="F94" s="1" t="s">
        <v>355</v>
      </c>
      <c r="H94" s="1">
        <v>3</v>
      </c>
      <c r="I94" s="1" t="s">
        <v>360</v>
      </c>
      <c r="J94" s="1" t="s">
        <v>361</v>
      </c>
      <c r="K94" s="2" t="s">
        <v>362</v>
      </c>
      <c r="L94" s="1" t="str">
        <f t="shared" si="43"/>
        <v>SumIF('Order';Target.Qty &gt; 50;Target.Qty)</v>
      </c>
    </row>
    <row r="95" spans="1:12" s="1" customFormat="1" ht="20" customHeight="1" x14ac:dyDescent="0.3">
      <c r="A95" s="1" t="s">
        <v>363</v>
      </c>
      <c r="B95" s="1" t="str">
        <f t="shared" si="41"/>
        <v>Max(字符串;字符串)：</v>
      </c>
      <c r="C95" s="1" t="s">
        <v>364</v>
      </c>
      <c r="D95" s="1" t="str">
        <f t="shared" si="42"/>
        <v>实数(对象属性值的最大值)</v>
      </c>
      <c r="E95" s="1" t="s">
        <v>109</v>
      </c>
      <c r="F95" s="1" t="s">
        <v>365</v>
      </c>
      <c r="H95" s="1">
        <v>2</v>
      </c>
      <c r="I95" s="1" t="s">
        <v>99</v>
      </c>
      <c r="J95" s="1" t="s">
        <v>356</v>
      </c>
      <c r="K95" s="2" t="s">
        <v>357</v>
      </c>
      <c r="L95" s="1" t="str">
        <f t="shared" si="43"/>
        <v>Max('Order';Target.Qty)</v>
      </c>
    </row>
    <row r="96" spans="1:12" s="1" customFormat="1" ht="20" customHeight="1" x14ac:dyDescent="0.3">
      <c r="A96" s="1" t="s">
        <v>366</v>
      </c>
      <c r="B96" s="1" t="str">
        <f t="shared" si="41"/>
        <v>MaxIF(字符串;字符串;字符串)：</v>
      </c>
      <c r="C96" s="1" t="s">
        <v>364</v>
      </c>
      <c r="D96" s="1" t="str">
        <f t="shared" si="42"/>
        <v>实数(对象属性值的最大值)</v>
      </c>
      <c r="E96" s="1" t="s">
        <v>109</v>
      </c>
      <c r="F96" s="1" t="s">
        <v>365</v>
      </c>
      <c r="H96" s="1">
        <v>3</v>
      </c>
      <c r="I96" s="1" t="s">
        <v>360</v>
      </c>
      <c r="J96" s="1" t="s">
        <v>361</v>
      </c>
      <c r="K96" s="2" t="s">
        <v>362</v>
      </c>
      <c r="L96" s="1" t="str">
        <f t="shared" si="43"/>
        <v>MaxIF('Order';Target.Qty &gt; 50;Target.Qty)</v>
      </c>
    </row>
    <row r="97" spans="1:12" s="1" customFormat="1" ht="20" customHeight="1" x14ac:dyDescent="0.3">
      <c r="A97" s="1" t="s">
        <v>367</v>
      </c>
      <c r="B97" s="1" t="str">
        <f t="shared" si="41"/>
        <v>MaxObject(字符串;字符串)：</v>
      </c>
      <c r="C97" s="1" t="s">
        <v>368</v>
      </c>
      <c r="D97" s="1" t="s">
        <v>368</v>
      </c>
      <c r="E97" s="1" t="s">
        <v>274</v>
      </c>
      <c r="F97" s="1" t="s">
        <v>369</v>
      </c>
      <c r="H97" s="1">
        <v>2</v>
      </c>
      <c r="I97" s="1" t="s">
        <v>99</v>
      </c>
      <c r="J97" s="1" t="s">
        <v>356</v>
      </c>
      <c r="K97" s="2" t="s">
        <v>357</v>
      </c>
      <c r="L97" s="1" t="str">
        <f t="shared" si="43"/>
        <v>MaxObject('Order';Target.Qty)</v>
      </c>
    </row>
    <row r="98" spans="1:12" s="1" customFormat="1" ht="20" customHeight="1" x14ac:dyDescent="0.3">
      <c r="A98" s="1" t="s">
        <v>382</v>
      </c>
      <c r="B98" s="1" t="str">
        <f t="shared" si="41"/>
        <v>ObjectList(字符串;字符串)：</v>
      </c>
      <c r="C98" s="1" t="s">
        <v>383</v>
      </c>
      <c r="D98" s="1" t="str">
        <f t="shared" ref="D98:D99" si="44">E98&amp;"("&amp;F98&amp;")"</f>
        <v>对象(取得的数组)</v>
      </c>
      <c r="E98" s="1" t="s">
        <v>274</v>
      </c>
      <c r="F98" s="1" t="s">
        <v>384</v>
      </c>
      <c r="H98" s="1">
        <v>2</v>
      </c>
      <c r="I98" s="1" t="s">
        <v>99</v>
      </c>
      <c r="J98" s="1" t="s">
        <v>356</v>
      </c>
      <c r="K98" s="2" t="s">
        <v>385</v>
      </c>
      <c r="L98" s="1" t="str">
        <f t="shared" si="43"/>
        <v>ObjectList('Order';Target)</v>
      </c>
    </row>
    <row r="99" spans="1:12" s="1" customFormat="1" ht="20" customHeight="1" x14ac:dyDescent="0.3">
      <c r="A99" s="1" t="s">
        <v>386</v>
      </c>
      <c r="B99" s="1" t="str">
        <f t="shared" si="41"/>
        <v>ObjectListIF(字符串;字符串;字符串)：</v>
      </c>
      <c r="C99" s="1" t="s">
        <v>387</v>
      </c>
      <c r="D99" s="1" t="str">
        <f t="shared" si="44"/>
        <v>对象(取得的数组)</v>
      </c>
      <c r="E99" s="1" t="s">
        <v>274</v>
      </c>
      <c r="F99" s="1" t="s">
        <v>384</v>
      </c>
      <c r="H99" s="1">
        <v>3</v>
      </c>
      <c r="I99" s="1" t="s">
        <v>360</v>
      </c>
      <c r="J99" s="1" t="s">
        <v>361</v>
      </c>
      <c r="K99" s="2" t="s">
        <v>388</v>
      </c>
      <c r="L99" s="1" t="str">
        <f t="shared" si="43"/>
        <v>ObjectListIF('Order';Target.Qty &gt; 50;Target)</v>
      </c>
    </row>
    <row r="100" spans="1:12" s="1" customFormat="1" ht="20" customHeight="1" x14ac:dyDescent="0.3">
      <c r="A100" s="1" t="s">
        <v>370</v>
      </c>
      <c r="B100" s="1" t="str">
        <f t="shared" si="41"/>
        <v>MaxObjectIF(字符串;字符串;字符串)：</v>
      </c>
      <c r="C100" s="1" t="s">
        <v>371</v>
      </c>
      <c r="D100" s="1" t="str">
        <f t="shared" ref="D100:D104" si="45">E100&amp;"("&amp;F100&amp;")"</f>
        <v>对象(列表中筛选后的对象中，拥有最大指定属性值的对象。)</v>
      </c>
      <c r="E100" s="1" t="s">
        <v>274</v>
      </c>
      <c r="F100" s="1" t="s">
        <v>372</v>
      </c>
      <c r="H100" s="1">
        <v>3</v>
      </c>
      <c r="I100" s="1" t="s">
        <v>360</v>
      </c>
      <c r="J100" s="1" t="s">
        <v>361</v>
      </c>
      <c r="K100" s="2" t="s">
        <v>362</v>
      </c>
      <c r="L100" s="1" t="str">
        <f t="shared" si="43"/>
        <v>MaxObjectIF('Order';Target.Qty &gt; 50;Target.Qty)</v>
      </c>
    </row>
    <row r="101" spans="1:12" s="1" customFormat="1" ht="20" customHeight="1" x14ac:dyDescent="0.3">
      <c r="A101" s="1" t="s">
        <v>373</v>
      </c>
      <c r="B101" s="1" t="str">
        <f t="shared" si="41"/>
        <v>Product(字符串;字符串)：</v>
      </c>
      <c r="C101" s="1" t="s">
        <v>374</v>
      </c>
      <c r="D101" s="1" t="str">
        <f t="shared" si="45"/>
        <v>实数(指定属性的合计结果)</v>
      </c>
      <c r="E101" s="1" t="s">
        <v>109</v>
      </c>
      <c r="F101" s="1" t="s">
        <v>375</v>
      </c>
      <c r="H101" s="1">
        <v>2</v>
      </c>
      <c r="I101" s="1" t="s">
        <v>99</v>
      </c>
      <c r="J101" s="1" t="s">
        <v>376</v>
      </c>
      <c r="K101" s="2" t="s">
        <v>357</v>
      </c>
      <c r="L101" s="1" t="str">
        <f t="shared" si="43"/>
        <v>Product('Order';Target.Qty)</v>
      </c>
    </row>
    <row r="102" spans="1:12" s="1" customFormat="1" ht="20" customHeight="1" x14ac:dyDescent="0.3">
      <c r="A102" s="1" t="s">
        <v>377</v>
      </c>
      <c r="B102" s="1" t="str">
        <f t="shared" si="41"/>
        <v>ProductIF(字符串;字符串;字符串)：</v>
      </c>
      <c r="C102" s="1" t="s">
        <v>378</v>
      </c>
      <c r="D102" s="1" t="str">
        <f t="shared" si="45"/>
        <v>实数(指定属性的合计结果)</v>
      </c>
      <c r="E102" s="1" t="s">
        <v>109</v>
      </c>
      <c r="F102" s="1" t="s">
        <v>375</v>
      </c>
      <c r="H102" s="1">
        <v>3</v>
      </c>
      <c r="I102" s="1" t="s">
        <v>379</v>
      </c>
      <c r="J102" s="1" t="s">
        <v>380</v>
      </c>
      <c r="K102" s="5" t="s">
        <v>381</v>
      </c>
      <c r="L102" s="1" t="str">
        <f t="shared" si="43"/>
        <v>ProductIF(Order';Target.Qty &gt; 50;Target.Qty)</v>
      </c>
    </row>
    <row r="103" spans="1:12" s="1" customFormat="1" ht="20" customHeight="1" x14ac:dyDescent="0.3">
      <c r="A103" s="1" t="s">
        <v>390</v>
      </c>
      <c r="B103" s="1" t="str">
        <f t="shared" si="41"/>
        <v>Sort(字符串;字符串;布尔)：</v>
      </c>
      <c r="C103" s="1" t="s">
        <v>391</v>
      </c>
      <c r="D103" s="1" t="str">
        <f t="shared" si="45"/>
        <v>对象(排序后的数组)</v>
      </c>
      <c r="E103" s="1" t="s">
        <v>274</v>
      </c>
      <c r="F103" s="1" t="s">
        <v>392</v>
      </c>
      <c r="H103" s="1">
        <v>3</v>
      </c>
      <c r="I103" s="1" t="s">
        <v>393</v>
      </c>
      <c r="J103" s="1" t="s">
        <v>394</v>
      </c>
      <c r="K103" s="2" t="s">
        <v>395</v>
      </c>
      <c r="L103" s="1" t="str">
        <f t="shared" si="43"/>
        <v>Sort('Order';Target.Qty;TRUE)</v>
      </c>
    </row>
    <row r="104" spans="1:12" s="1" customFormat="1" ht="20" customHeight="1" x14ac:dyDescent="0.3">
      <c r="A104" s="1" t="s">
        <v>396</v>
      </c>
      <c r="B104" s="1" t="str">
        <f t="shared" si="41"/>
        <v>Unique(字符串)：</v>
      </c>
      <c r="C104" s="1" t="s">
        <v>397</v>
      </c>
      <c r="D104" s="1" t="str">
        <f t="shared" si="45"/>
        <v>对象(去掉重复元素后的数组)</v>
      </c>
      <c r="E104" s="1" t="s">
        <v>274</v>
      </c>
      <c r="F104" s="1" t="s">
        <v>398</v>
      </c>
      <c r="H104" s="1">
        <v>1</v>
      </c>
      <c r="I104" s="1" t="s">
        <v>118</v>
      </c>
      <c r="J104" s="1" t="s">
        <v>399</v>
      </c>
      <c r="K104" s="2" t="s">
        <v>400</v>
      </c>
      <c r="L104" s="1" t="str">
        <f t="shared" si="43"/>
        <v>Unique(ObjectList(ME.ProductionTask.InputInstructions,Target.Item))</v>
      </c>
    </row>
    <row r="105" spans="1:12" x14ac:dyDescent="0.3">
      <c r="B105" s="3" t="s">
        <v>446</v>
      </c>
    </row>
    <row r="106" spans="1:12" s="1" customFormat="1" ht="21" customHeight="1" x14ac:dyDescent="0.3">
      <c r="A106" s="1" t="s">
        <v>428</v>
      </c>
      <c r="B106" s="1" t="str">
        <f t="shared" ref="B106:B108" si="46">A106&amp;"("&amp;I106&amp;")："</f>
        <v>CalcDeliveryCost(实数)：</v>
      </c>
      <c r="C106" s="1" t="s">
        <v>429</v>
      </c>
      <c r="D106" s="1" t="str">
        <f t="shared" ref="D106:D108" si="47">E106&amp;"("&amp;F106&amp;")"</f>
        <v>实数(运费)</v>
      </c>
      <c r="E106" s="1" t="s">
        <v>109</v>
      </c>
      <c r="F106" s="1" t="s">
        <v>430</v>
      </c>
      <c r="H106" s="1">
        <v>1</v>
      </c>
      <c r="I106" s="1" t="s">
        <v>109</v>
      </c>
      <c r="J106" s="1" t="s">
        <v>431</v>
      </c>
      <c r="K106" s="2" t="s">
        <v>432</v>
      </c>
      <c r="L106" s="1" t="str">
        <f t="shared" ref="L106:L108" si="48">A106&amp;"("&amp;K106&amp;")"</f>
        <v>CalcDeliveryCost(ME)</v>
      </c>
    </row>
    <row r="107" spans="1:12" s="1" customFormat="1" ht="20" customHeight="1" x14ac:dyDescent="0.3">
      <c r="A107" s="1" t="s">
        <v>433</v>
      </c>
      <c r="B107" s="1" t="str">
        <f t="shared" si="46"/>
        <v>CalcInventory(对象;日期)：</v>
      </c>
      <c r="C107" s="1" t="s">
        <v>434</v>
      </c>
      <c r="D107" s="1" t="str">
        <f t="shared" si="47"/>
        <v>实数(所指定品目的某时刻的库存数量)</v>
      </c>
      <c r="E107" s="1" t="s">
        <v>109</v>
      </c>
      <c r="F107" s="1" t="s">
        <v>435</v>
      </c>
      <c r="H107" s="1">
        <v>2</v>
      </c>
      <c r="I107" s="1" t="s">
        <v>436</v>
      </c>
      <c r="J107" s="1" t="s">
        <v>437</v>
      </c>
      <c r="K107" s="2" t="s">
        <v>438</v>
      </c>
      <c r="L107" s="1" t="str">
        <f t="shared" si="48"/>
        <v>CalcInventory(Me.Item;#2023/10/15 00:00:00#)</v>
      </c>
    </row>
    <row r="108" spans="1:12" s="1" customFormat="1" ht="20" customHeight="1" x14ac:dyDescent="0.3">
      <c r="A108" s="1" t="s">
        <v>439</v>
      </c>
      <c r="B108" s="1" t="str">
        <f t="shared" si="46"/>
        <v>CalcInventoryReachDate(对象;整数;字符串;日期)：</v>
      </c>
      <c r="C108" s="1" t="s">
        <v>440</v>
      </c>
      <c r="D108" s="1" t="str">
        <f t="shared" si="47"/>
        <v>时刻(所指定品目的库存刚好变为指定数量的日期)</v>
      </c>
      <c r="E108" s="1" t="s">
        <v>441</v>
      </c>
      <c r="F108" s="1" t="s">
        <v>442</v>
      </c>
      <c r="H108" s="1">
        <v>4</v>
      </c>
      <c r="I108" s="1" t="s">
        <v>443</v>
      </c>
      <c r="J108" s="1" t="s">
        <v>444</v>
      </c>
      <c r="K108" s="2" t="s">
        <v>445</v>
      </c>
      <c r="L108" s="1" t="str">
        <f t="shared" si="48"/>
        <v>CalcInventoryReachDate(Me.Item;100;'&gt;=';#2023/1/1#)</v>
      </c>
    </row>
    <row r="109" spans="1:12" x14ac:dyDescent="0.3">
      <c r="B109" s="3" t="s">
        <v>507</v>
      </c>
    </row>
    <row r="110" spans="1:12" s="1" customFormat="1" ht="20" customHeight="1" x14ac:dyDescent="0.3">
      <c r="A110" s="1" t="s">
        <v>479</v>
      </c>
      <c r="B110" s="1" t="str">
        <f t="shared" ref="B110" si="49">A110&amp;"("&amp;I110&amp;")："</f>
        <v>CalcOrderLeeway(对象)：</v>
      </c>
      <c r="C110" s="1" t="s">
        <v>480</v>
      </c>
      <c r="D110" s="1" t="str">
        <f t="shared" ref="D110" si="50">E110&amp;"("&amp;F110&amp;")"</f>
        <v>时间间隔(针对于交货期的工作的余裕时间。)</v>
      </c>
      <c r="E110" s="1" t="s">
        <v>449</v>
      </c>
      <c r="F110" s="1" t="s">
        <v>481</v>
      </c>
      <c r="H110" s="1">
        <v>1</v>
      </c>
      <c r="I110" s="1" t="s">
        <v>482</v>
      </c>
      <c r="J110" s="1" t="s">
        <v>483</v>
      </c>
      <c r="K110" s="2" t="s">
        <v>458</v>
      </c>
      <c r="L110" s="1" t="str">
        <f t="shared" ref="L110" si="51">A110&amp;"("&amp;K110&amp;")"</f>
        <v>CalcOrderLeeway(Me.Operation)</v>
      </c>
    </row>
    <row r="111" spans="1:12" s="1" customFormat="1" ht="20" customHeight="1" x14ac:dyDescent="0.3">
      <c r="A111" s="1" t="s">
        <v>447</v>
      </c>
      <c r="B111" s="1" t="str">
        <f t="shared" ref="B111:B115" si="52">A111&amp;"("&amp;I111&amp;")："</f>
        <v>CalcProductionTime(对象;日期;日期)：</v>
      </c>
      <c r="C111" s="1" t="s">
        <v>448</v>
      </c>
      <c r="D111" s="1" t="str">
        <f t="shared" ref="D111:D115" si="53">E111&amp;"("&amp;F111&amp;")"</f>
        <v>时间间隔(制造时间总和)</v>
      </c>
      <c r="E111" s="1" t="s">
        <v>449</v>
      </c>
      <c r="F111" s="1" t="s">
        <v>450</v>
      </c>
      <c r="H111" s="1">
        <v>3</v>
      </c>
      <c r="I111" s="1" t="s">
        <v>451</v>
      </c>
      <c r="J111" s="1" t="s">
        <v>452</v>
      </c>
      <c r="K111" s="2" t="s">
        <v>453</v>
      </c>
      <c r="L111" s="1" t="str">
        <f t="shared" ref="L111:L115" si="54">A111&amp;"("&amp;K111&amp;")"</f>
        <v>CalcProductionTime(ME;#2023/01/01 00:00:00#;#2023/01/01 00:00:00#)</v>
      </c>
    </row>
    <row r="112" spans="1:12" s="1" customFormat="1" ht="20" customHeight="1" x14ac:dyDescent="0.3">
      <c r="A112" s="1" t="s">
        <v>454</v>
      </c>
      <c r="B112" s="1" t="str">
        <f t="shared" si="52"/>
        <v>CalcRemainingProductionTime(对象)：</v>
      </c>
      <c r="C112" s="1" t="s">
        <v>455</v>
      </c>
      <c r="D112" s="1" t="str">
        <f t="shared" si="53"/>
        <v>时间间隔(后工序工作的制造时间（剩余制造时间）的总和)</v>
      </c>
      <c r="E112" s="1" t="s">
        <v>449</v>
      </c>
      <c r="F112" s="1" t="s">
        <v>456</v>
      </c>
      <c r="H112" s="1">
        <v>1</v>
      </c>
      <c r="I112" s="1" t="s">
        <v>274</v>
      </c>
      <c r="J112" s="1" t="s">
        <v>457</v>
      </c>
      <c r="K112" s="2" t="s">
        <v>458</v>
      </c>
      <c r="L112" s="1" t="str">
        <f t="shared" si="54"/>
        <v>CalcRemainingProductionTime(Me.Operation)</v>
      </c>
    </row>
    <row r="113" spans="1:12" s="1" customFormat="1" ht="20" customHeight="1" x14ac:dyDescent="0.3">
      <c r="A113" s="1" t="s">
        <v>459</v>
      </c>
      <c r="B113" s="1" t="str">
        <f t="shared" si="52"/>
        <v>CalcRemainingTime(对象)：</v>
      </c>
      <c r="C113" s="1" t="s">
        <v>460</v>
      </c>
      <c r="D113" s="1" t="str">
        <f t="shared" si="53"/>
        <v>时间间隔(前工序的最晚结束工作的结束时刻开始到交货期的时间(剩余时间))</v>
      </c>
      <c r="E113" s="1" t="s">
        <v>449</v>
      </c>
      <c r="F113" s="1" t="s">
        <v>461</v>
      </c>
      <c r="H113" s="1">
        <v>1</v>
      </c>
      <c r="I113" s="1" t="s">
        <v>274</v>
      </c>
      <c r="J113" s="1" t="s">
        <v>457</v>
      </c>
      <c r="K113" s="2" t="s">
        <v>458</v>
      </c>
      <c r="L113" s="1" t="str">
        <f t="shared" si="54"/>
        <v>CalcRemainingTime(Me.Operation)</v>
      </c>
    </row>
    <row r="114" spans="1:12" s="1" customFormat="1" ht="20" customHeight="1" x14ac:dyDescent="0.3">
      <c r="A114" s="1" t="s">
        <v>462</v>
      </c>
      <c r="B114" s="1" t="str">
        <f t="shared" si="52"/>
        <v>CalcSetupTime(对象;日期;日期)：</v>
      </c>
      <c r="C114" s="1" t="s">
        <v>463</v>
      </c>
      <c r="D114" s="1" t="str">
        <f t="shared" si="53"/>
        <v>时间间隔(前设置时间总和)</v>
      </c>
      <c r="E114" s="1" t="s">
        <v>449</v>
      </c>
      <c r="F114" s="1" t="s">
        <v>464</v>
      </c>
      <c r="H114" s="1">
        <v>3</v>
      </c>
      <c r="I114" s="1" t="s">
        <v>451</v>
      </c>
      <c r="J114" s="1" t="s">
        <v>452</v>
      </c>
      <c r="K114" s="2" t="s">
        <v>453</v>
      </c>
      <c r="L114" s="1" t="str">
        <f t="shared" si="54"/>
        <v>CalcSetupTime(ME;#2023/01/01 00:00:00#;#2023/01/01 00:00:00#)</v>
      </c>
    </row>
    <row r="115" spans="1:12" s="1" customFormat="1" ht="20" customHeight="1" x14ac:dyDescent="0.3">
      <c r="A115" s="1" t="s">
        <v>465</v>
      </c>
      <c r="B115" s="1" t="str">
        <f t="shared" si="52"/>
        <v>CalcTeardownTime(对象;日期;日期)：</v>
      </c>
      <c r="C115" s="1" t="s">
        <v>466</v>
      </c>
      <c r="D115" s="1" t="str">
        <f t="shared" si="53"/>
        <v>时间间隔(后设置时间总和)</v>
      </c>
      <c r="E115" s="1" t="s">
        <v>449</v>
      </c>
      <c r="F115" s="1" t="s">
        <v>467</v>
      </c>
      <c r="H115" s="1">
        <v>3</v>
      </c>
      <c r="I115" s="1" t="s">
        <v>451</v>
      </c>
      <c r="J115" s="1" t="s">
        <v>452</v>
      </c>
      <c r="K115" s="2" t="s">
        <v>453</v>
      </c>
      <c r="L115" s="1" t="str">
        <f t="shared" si="54"/>
        <v>CalcTeardownTime(ME;#2023/01/01 00:00:00#;#2023/01/01 00:00:00#)</v>
      </c>
    </row>
    <row r="116" spans="1:12" s="1" customFormat="1" ht="20" customHeight="1" x14ac:dyDescent="0.3">
      <c r="A116" s="1" t="s">
        <v>494</v>
      </c>
      <c r="B116" s="1" t="str">
        <f>A116&amp;"("&amp;I116&amp;")："</f>
        <v>ResourceLoadByResourceQtyTime(对象;日期;日期;字符串)：</v>
      </c>
      <c r="C116" s="1" t="s">
        <v>495</v>
      </c>
      <c r="D116" s="1" t="str">
        <f>E116&amp;"("&amp;F116&amp;")"</f>
        <v>实数(返回指定时间段内满足条件的工作使用指令的资源量时间（工作时间×资源量）。)</v>
      </c>
      <c r="E116" s="1" t="s">
        <v>109</v>
      </c>
      <c r="F116" s="1" t="s">
        <v>496</v>
      </c>
      <c r="H116" s="1">
        <v>4</v>
      </c>
      <c r="I116" s="1" t="s">
        <v>497</v>
      </c>
      <c r="J116" s="1" t="s">
        <v>498</v>
      </c>
      <c r="K116" s="2" t="s">
        <v>499</v>
      </c>
      <c r="L116" s="1" t="str">
        <f>A116&amp;"("&amp;K116&amp;")"</f>
        <v>ResourceLoadByResourceQtyTime(Me.Resource;#2023/10/1#;#2023/11/1#;TARGET.UseInst_Work.Work_Type=='P')</v>
      </c>
    </row>
    <row r="117" spans="1:12" s="1" customFormat="1" ht="20" customHeight="1" x14ac:dyDescent="0.3">
      <c r="B117" s="4" t="s">
        <v>532</v>
      </c>
      <c r="K117" s="2"/>
    </row>
    <row r="118" spans="1:12" s="1" customFormat="1" ht="20" customHeight="1" x14ac:dyDescent="0.3">
      <c r="A118" s="1" t="s">
        <v>508</v>
      </c>
      <c r="B118" s="1" t="str">
        <f t="shared" ref="B118:B123" si="55">A118&amp;"("&amp;I118&amp;")："</f>
        <v>GetAssignableResource(对象)：</v>
      </c>
      <c r="C118" s="1" t="s">
        <v>510</v>
      </c>
      <c r="D118" s="1" t="str">
        <f t="shared" ref="D118:D123" si="56">E118&amp;"("&amp;F118&amp;")"</f>
        <v>对象(候补资源的列表)</v>
      </c>
      <c r="E118" s="1" t="s">
        <v>274</v>
      </c>
      <c r="F118" s="1" t="s">
        <v>509</v>
      </c>
      <c r="H118" s="1">
        <v>1</v>
      </c>
      <c r="I118" s="1" t="s">
        <v>274</v>
      </c>
      <c r="J118" s="1" t="s">
        <v>457</v>
      </c>
      <c r="K118" s="2" t="s">
        <v>458</v>
      </c>
      <c r="L118" s="1" t="str">
        <f t="shared" ref="L118:L123" si="57">A118&amp;"("&amp;K118&amp;")"</f>
        <v>GetAssignableResource(Me.Operation)</v>
      </c>
    </row>
    <row r="119" spans="1:12" s="1" customFormat="1" ht="20" customHeight="1" x14ac:dyDescent="0.3">
      <c r="A119" s="1" t="s">
        <v>511</v>
      </c>
      <c r="B119" s="1" t="str">
        <f t="shared" si="55"/>
        <v>GetNumCandidateResource(对象)：</v>
      </c>
      <c r="C119" s="1" t="s">
        <v>512</v>
      </c>
      <c r="D119" s="1" t="str">
        <f t="shared" si="56"/>
        <v>整数(候补资源的数目)</v>
      </c>
      <c r="E119" s="1" t="s">
        <v>15</v>
      </c>
      <c r="F119" s="1" t="s">
        <v>513</v>
      </c>
      <c r="H119" s="1">
        <v>1</v>
      </c>
      <c r="I119" s="1" t="s">
        <v>274</v>
      </c>
      <c r="J119" s="1" t="s">
        <v>457</v>
      </c>
      <c r="K119" s="2" t="s">
        <v>458</v>
      </c>
      <c r="L119" s="1" t="str">
        <f t="shared" si="57"/>
        <v>GetNumCandidateResource(Me.Operation)</v>
      </c>
    </row>
    <row r="120" spans="1:12" s="1" customFormat="1" ht="20" customHeight="1" x14ac:dyDescent="0.3">
      <c r="A120" s="1" t="s">
        <v>523</v>
      </c>
      <c r="B120" s="1" t="str">
        <f t="shared" si="55"/>
        <v>GetResourceByUseBomCode(对象;字符串)：</v>
      </c>
      <c r="C120" s="1" t="s">
        <v>524</v>
      </c>
      <c r="D120" s="1" t="str">
        <f t="shared" si="56"/>
        <v>对象(资源)</v>
      </c>
      <c r="E120" s="1" t="s">
        <v>274</v>
      </c>
      <c r="F120" s="1" t="s">
        <v>525</v>
      </c>
      <c r="G120" s="1">
        <v>14</v>
      </c>
      <c r="H120" s="1">
        <v>2</v>
      </c>
      <c r="I120" s="1" t="s">
        <v>520</v>
      </c>
      <c r="J120" s="1" t="s">
        <v>521</v>
      </c>
      <c r="K120" s="2" t="s">
        <v>522</v>
      </c>
      <c r="L120" s="1" t="str">
        <f t="shared" si="57"/>
        <v>GetResourceByUseBomCode(Me;'M')</v>
      </c>
    </row>
    <row r="121" spans="1:12" s="1" customFormat="1" ht="20" customHeight="1" x14ac:dyDescent="0.3">
      <c r="A121" s="1" t="s">
        <v>517</v>
      </c>
      <c r="B121" s="1" t="str">
        <f t="shared" si="55"/>
        <v>GetDispatchingEvalByUseBomCode(对象;字符串)：</v>
      </c>
      <c r="C121" s="1" t="s">
        <v>518</v>
      </c>
      <c r="D121" s="1" t="str">
        <f t="shared" si="56"/>
        <v>对象(分派信息对象)</v>
      </c>
      <c r="E121" s="1" t="s">
        <v>274</v>
      </c>
      <c r="F121" s="1" t="s">
        <v>519</v>
      </c>
      <c r="G121" s="1">
        <v>133</v>
      </c>
      <c r="H121" s="1">
        <v>2</v>
      </c>
      <c r="I121" s="1" t="s">
        <v>520</v>
      </c>
      <c r="J121" s="1" t="s">
        <v>521</v>
      </c>
      <c r="K121" s="2" t="s">
        <v>522</v>
      </c>
      <c r="L121" s="1" t="str">
        <f t="shared" si="57"/>
        <v>GetDispatchingEvalByUseBomCode(Me;'M')</v>
      </c>
    </row>
    <row r="122" spans="1:12" s="1" customFormat="1" ht="20" customHeight="1" x14ac:dyDescent="0.3">
      <c r="A122" s="1" t="s">
        <v>514</v>
      </c>
      <c r="B122" s="1" t="str">
        <f>A122&amp;"("&amp;I122&amp;")："</f>
        <v>GetNumProcessToGo(对象)：</v>
      </c>
      <c r="C122" s="1" t="s">
        <v>515</v>
      </c>
      <c r="D122" s="1" t="str">
        <f>E122&amp;"("&amp;F122&amp;")"</f>
        <v>整数(后工序以后的工序数目)</v>
      </c>
      <c r="E122" s="1" t="s">
        <v>15</v>
      </c>
      <c r="F122" s="1" t="s">
        <v>516</v>
      </c>
      <c r="H122" s="1">
        <v>1</v>
      </c>
      <c r="I122" s="1" t="s">
        <v>274</v>
      </c>
      <c r="J122" s="1" t="s">
        <v>457</v>
      </c>
      <c r="K122" s="2" t="s">
        <v>458</v>
      </c>
      <c r="L122" s="1" t="str">
        <f>A122&amp;"("&amp;K122&amp;")"</f>
        <v>GetNumProcessToGo(Me.Operation)</v>
      </c>
    </row>
    <row r="123" spans="1:12" s="1" customFormat="1" ht="20" customHeight="1" x14ac:dyDescent="0.3">
      <c r="A123" s="1" t="s">
        <v>526</v>
      </c>
      <c r="B123" s="1" t="str">
        <f t="shared" si="55"/>
        <v>GetPeggedRate(对象;对象)：</v>
      </c>
      <c r="C123" s="1" t="s">
        <v>527</v>
      </c>
      <c r="D123" s="1" t="str">
        <f t="shared" si="56"/>
        <v>实数(关联数量的比率)</v>
      </c>
      <c r="E123" s="1" t="s">
        <v>109</v>
      </c>
      <c r="F123" s="1" t="s">
        <v>528</v>
      </c>
      <c r="H123" s="1">
        <v>2</v>
      </c>
      <c r="I123" s="1" t="s">
        <v>529</v>
      </c>
      <c r="J123" s="1" t="s">
        <v>530</v>
      </c>
      <c r="K123" s="2" t="s">
        <v>531</v>
      </c>
      <c r="L123" s="1" t="str">
        <f t="shared" si="57"/>
        <v>GetPeggedRate(Me.PrevOperation[1];Me)</v>
      </c>
    </row>
    <row r="124" spans="1:12" x14ac:dyDescent="0.3">
      <c r="B124" s="3" t="s">
        <v>617</v>
      </c>
    </row>
    <row r="125" spans="1:12" s="1" customFormat="1" ht="20" customHeight="1" x14ac:dyDescent="0.3">
      <c r="A125" s="1" t="s">
        <v>484</v>
      </c>
      <c r="B125" s="1" t="str">
        <f t="shared" ref="B125:B128" si="58">A125&amp;"("&amp;I125&amp;")："</f>
        <v>ResourceLoad(对象;日期;日期)：</v>
      </c>
      <c r="C125" s="1" t="s">
        <v>485</v>
      </c>
      <c r="D125" s="1" t="str">
        <f t="shared" ref="D125:D128" si="59">E125&amp;"("&amp;F125&amp;")"</f>
        <v>实数(没有工作为1,负荷为100%则返回0。)</v>
      </c>
      <c r="E125" s="1" t="s">
        <v>109</v>
      </c>
      <c r="F125" s="1" t="s">
        <v>486</v>
      </c>
      <c r="H125" s="1">
        <v>3</v>
      </c>
      <c r="I125" s="1" t="s">
        <v>451</v>
      </c>
      <c r="J125" s="1" t="s">
        <v>487</v>
      </c>
      <c r="K125" s="2" t="s">
        <v>488</v>
      </c>
      <c r="L125" s="1" t="str">
        <f t="shared" ref="L125:L128" si="60">A125&amp;"("&amp;K125&amp;")"</f>
        <v>ResourceLoad(Me.Resource;#2023/10/1#;#2023/11/1#)</v>
      </c>
    </row>
    <row r="126" spans="1:12" s="1" customFormat="1" ht="20" customHeight="1" x14ac:dyDescent="0.3">
      <c r="A126" s="1" t="s">
        <v>484</v>
      </c>
      <c r="B126" s="1" t="str">
        <f t="shared" si="58"/>
        <v>ResourceLoad(对象;日期;时间间隔)：</v>
      </c>
      <c r="C126" s="1" t="s">
        <v>489</v>
      </c>
      <c r="D126" s="1" t="str">
        <f t="shared" si="59"/>
        <v>实数(返回指定时间段内满足条件的工作使用指令的资源负荷率。)</v>
      </c>
      <c r="E126" s="1" t="s">
        <v>109</v>
      </c>
      <c r="F126" s="1" t="s">
        <v>490</v>
      </c>
      <c r="H126" s="1">
        <v>3</v>
      </c>
      <c r="I126" s="1" t="s">
        <v>491</v>
      </c>
      <c r="J126" s="1" t="s">
        <v>492</v>
      </c>
      <c r="K126" s="2" t="s">
        <v>493</v>
      </c>
      <c r="L126" s="1" t="str">
        <f t="shared" si="60"/>
        <v>ResourceLoad(Me.Resource;#2023/10/1#;1h)</v>
      </c>
    </row>
    <row r="127" spans="1:12" s="1" customFormat="1" ht="20" customHeight="1" x14ac:dyDescent="0.3">
      <c r="A127" s="1" t="s">
        <v>500</v>
      </c>
      <c r="B127" s="1" t="str">
        <f t="shared" si="58"/>
        <v>ResourceLoadIF(对象;日期;日期;筛选式)：</v>
      </c>
      <c r="C127" s="1" t="s">
        <v>501</v>
      </c>
      <c r="D127" s="1" t="str">
        <f t="shared" si="59"/>
        <v>实数(返回指定时间段内满足条件的工作使用指令的资源负荷率。)</v>
      </c>
      <c r="E127" s="1" t="s">
        <v>109</v>
      </c>
      <c r="F127" s="1" t="s">
        <v>490</v>
      </c>
      <c r="H127" s="1">
        <v>4</v>
      </c>
      <c r="I127" s="1" t="s">
        <v>502</v>
      </c>
      <c r="J127" s="1" t="s">
        <v>498</v>
      </c>
      <c r="K127" s="2" t="s">
        <v>499</v>
      </c>
      <c r="L127" s="1" t="str">
        <f t="shared" si="60"/>
        <v>ResourceLoadIF(Me.Resource;#2023/10/1#;#2023/11/1#;TARGET.UseInst_Work.Work_Type=='P')</v>
      </c>
    </row>
    <row r="128" spans="1:12" s="1" customFormat="1" ht="20" customHeight="1" x14ac:dyDescent="0.3">
      <c r="A128" s="1" t="s">
        <v>500</v>
      </c>
      <c r="B128" s="1" t="str">
        <f t="shared" si="58"/>
        <v>ResourceLoadIF(对象;日期;时间间隔;筛选式)：</v>
      </c>
      <c r="C128" s="1" t="s">
        <v>503</v>
      </c>
      <c r="D128" s="1" t="str">
        <f t="shared" si="59"/>
        <v>实数(返回指定时间段内满足条件的工作使用指令的资源负荷率。)</v>
      </c>
      <c r="E128" s="1" t="s">
        <v>109</v>
      </c>
      <c r="F128" s="1" t="s">
        <v>490</v>
      </c>
      <c r="H128" s="1">
        <v>4</v>
      </c>
      <c r="I128" s="1" t="s">
        <v>504</v>
      </c>
      <c r="J128" s="1" t="s">
        <v>505</v>
      </c>
      <c r="K128" s="2" t="s">
        <v>506</v>
      </c>
      <c r="L128" s="1" t="str">
        <f t="shared" si="60"/>
        <v>ResourceLoadIF(Me.Resource;#2023/10/1#;1h;TARGET.UseInst_Work.Work_Type=='P')</v>
      </c>
    </row>
    <row r="129" spans="1:12" x14ac:dyDescent="0.3">
      <c r="B129" s="3" t="s">
        <v>615</v>
      </c>
    </row>
    <row r="130" spans="1:12" s="1" customFormat="1" ht="20" customHeight="1" x14ac:dyDescent="0.3">
      <c r="A130" s="1" t="s">
        <v>533</v>
      </c>
      <c r="B130" s="1" t="str">
        <f t="shared" ref="B130:B137" si="61">A130&amp;"("&amp;I130&amp;")："</f>
        <v>GetCalendar(对象;日期)：</v>
      </c>
      <c r="C130" s="1" t="s">
        <v>534</v>
      </c>
      <c r="D130" s="1" t="str">
        <f t="shared" ref="D130:D137" si="62">E130&amp;"("&amp;F130&amp;")"</f>
        <v>对象(生产日历)</v>
      </c>
      <c r="E130" s="1" t="s">
        <v>274</v>
      </c>
      <c r="F130" s="1" t="s">
        <v>535</v>
      </c>
      <c r="G130" s="1">
        <v>13</v>
      </c>
      <c r="H130" s="1">
        <v>2</v>
      </c>
      <c r="I130" s="1" t="s">
        <v>436</v>
      </c>
      <c r="J130" s="1" t="s">
        <v>536</v>
      </c>
      <c r="K130" s="2" t="s">
        <v>537</v>
      </c>
      <c r="L130" s="1" t="str">
        <f t="shared" ref="L130:L137" si="63">A130&amp;"("&amp;K130&amp;")"</f>
        <v>GetCalendar(Me.Resource;#2023/1/1 10:00:00#)</v>
      </c>
    </row>
    <row r="131" spans="1:12" s="1" customFormat="1" ht="20" customHeight="1" x14ac:dyDescent="0.3">
      <c r="A131" s="1" t="s">
        <v>538</v>
      </c>
      <c r="B131" s="1" t="str">
        <f t="shared" si="61"/>
        <v>GetOverwriteCalendar(对象;日期)：</v>
      </c>
      <c r="C131" s="1" t="s">
        <v>539</v>
      </c>
      <c r="D131" s="1" t="str">
        <f t="shared" si="62"/>
        <v>对象(覆盖日历)</v>
      </c>
      <c r="E131" s="1" t="s">
        <v>274</v>
      </c>
      <c r="F131" s="1" t="s">
        <v>540</v>
      </c>
      <c r="G131" s="1">
        <v>231</v>
      </c>
      <c r="H131" s="1">
        <v>2</v>
      </c>
      <c r="I131" s="1" t="s">
        <v>436</v>
      </c>
      <c r="J131" s="1" t="s">
        <v>536</v>
      </c>
      <c r="K131" s="2" t="s">
        <v>541</v>
      </c>
      <c r="L131" s="1" t="str">
        <f t="shared" si="63"/>
        <v>GetOverwriteCalendar(Me.Resource;#2025/1/1 10:00:00#)</v>
      </c>
    </row>
    <row r="132" spans="1:12" s="1" customFormat="1" ht="20" customHeight="1" x14ac:dyDescent="0.3">
      <c r="A132" s="1" t="s">
        <v>542</v>
      </c>
      <c r="B132" s="1" t="str">
        <f t="shared" si="61"/>
        <v>GetShiftList(对象;日期;整数;整数)：</v>
      </c>
      <c r="C132" s="1" t="s">
        <v>543</v>
      </c>
      <c r="D132" s="1" t="str">
        <f t="shared" si="62"/>
        <v>对象(出勤模式的数组)</v>
      </c>
      <c r="E132" s="1" t="s">
        <v>274</v>
      </c>
      <c r="F132" s="1" t="s">
        <v>544</v>
      </c>
      <c r="G132" s="1">
        <v>12</v>
      </c>
      <c r="H132" s="1">
        <v>4</v>
      </c>
      <c r="I132" s="1" t="s">
        <v>545</v>
      </c>
      <c r="J132" s="1" t="s">
        <v>546</v>
      </c>
      <c r="K132" s="2" t="s">
        <v>547</v>
      </c>
      <c r="L132" s="1" t="str">
        <f t="shared" si="63"/>
        <v>GetShiftList(Me.Resource;#2023/1/1 10:00:00#;1;1)</v>
      </c>
    </row>
    <row r="133" spans="1:12" s="1" customFormat="1" ht="20" customHeight="1" x14ac:dyDescent="0.3">
      <c r="A133" s="1" t="s">
        <v>548</v>
      </c>
      <c r="B133" s="1" t="str">
        <f t="shared" si="61"/>
        <v>GetWorkingDays(日期;日期;对象;时间间隔)：</v>
      </c>
      <c r="C133" s="1" t="s">
        <v>549</v>
      </c>
      <c r="D133" s="1" t="str">
        <f t="shared" si="62"/>
        <v>整数(指定资源在某时间段的稼动时间个数)</v>
      </c>
      <c r="E133" s="1" t="s">
        <v>15</v>
      </c>
      <c r="F133" s="1" t="s">
        <v>550</v>
      </c>
      <c r="H133" s="1">
        <v>4</v>
      </c>
      <c r="I133" s="1" t="s">
        <v>551</v>
      </c>
      <c r="J133" s="1" t="s">
        <v>552</v>
      </c>
      <c r="K133" s="2" t="s">
        <v>553</v>
      </c>
      <c r="L133" s="1" t="str">
        <f t="shared" si="63"/>
        <v>GetWorkingDays(#2023/10/01 00:00:00#;#2023/10/15 00:00:00#;Me.OperationMainRes;6H)</v>
      </c>
    </row>
    <row r="134" spans="1:12" s="1" customFormat="1" ht="20" customHeight="1" x14ac:dyDescent="0.3">
      <c r="A134" s="1" t="s">
        <v>548</v>
      </c>
      <c r="B134" s="1" t="str">
        <f t="shared" si="61"/>
        <v>GetWorkingDays(日期;日期;对象;时间间隔;整数)：</v>
      </c>
      <c r="C134" s="1" t="s">
        <v>554</v>
      </c>
      <c r="D134" s="1" t="str">
        <f t="shared" si="62"/>
        <v>整数(指定资源在某时间段的稼动天数)</v>
      </c>
      <c r="E134" s="1" t="s">
        <v>15</v>
      </c>
      <c r="F134" s="1" t="s">
        <v>555</v>
      </c>
      <c r="H134" s="1">
        <v>5</v>
      </c>
      <c r="I134" s="1" t="s">
        <v>556</v>
      </c>
      <c r="J134" s="1" t="s">
        <v>557</v>
      </c>
      <c r="K134" s="2" t="s">
        <v>558</v>
      </c>
      <c r="L134" s="1" t="str">
        <f t="shared" si="63"/>
        <v>GetWorkingDays(#2023/10/01 00:00:00#;#2023/10/15 00:00:00#;Me.OperationMainRes;6H;1)</v>
      </c>
    </row>
    <row r="135" spans="1:12" s="1" customFormat="1" ht="20" customHeight="1" x14ac:dyDescent="0.3">
      <c r="A135" s="1" t="s">
        <v>559</v>
      </c>
      <c r="B135" s="1" t="str">
        <f t="shared" si="61"/>
        <v>GetWorkingTime(日期;日期;对象)：</v>
      </c>
      <c r="C135" s="1" t="s">
        <v>560</v>
      </c>
      <c r="D135" s="1" t="str">
        <f t="shared" si="62"/>
        <v>日期(资源的特定时间段的稼动时间总和)</v>
      </c>
      <c r="E135" s="1" t="s">
        <v>17</v>
      </c>
      <c r="F135" s="1" t="s">
        <v>561</v>
      </c>
      <c r="H135" s="1">
        <v>3</v>
      </c>
      <c r="I135" s="1" t="s">
        <v>562</v>
      </c>
      <c r="J135" s="1" t="s">
        <v>563</v>
      </c>
      <c r="K135" s="2" t="s">
        <v>564</v>
      </c>
      <c r="L135" s="1" t="str">
        <f t="shared" si="63"/>
        <v>GetWorkingTime(#2023/10/01 00:00:00#;#2023/10/15 00:00:00#;Me.OperationMainRes)</v>
      </c>
    </row>
    <row r="136" spans="1:12" s="1" customFormat="1" ht="20" customHeight="1" x14ac:dyDescent="0.3">
      <c r="A136" s="1" t="s">
        <v>565</v>
      </c>
      <c r="B136" s="1" t="str">
        <f t="shared" si="61"/>
        <v>AdvanceAlongResourceWorkingDay(对象;日期;整数;时间间隔;整数)：</v>
      </c>
      <c r="C136" s="1" t="s">
        <v>566</v>
      </c>
      <c r="D136" s="1" t="str">
        <f t="shared" si="62"/>
        <v>日期(沿着所指定资源的稼动时间，经过所指定天数之后的时刻)</v>
      </c>
      <c r="E136" s="1" t="s">
        <v>17</v>
      </c>
      <c r="F136" s="1" t="s">
        <v>567</v>
      </c>
      <c r="H136" s="1">
        <v>5</v>
      </c>
      <c r="I136" s="1" t="s">
        <v>568</v>
      </c>
      <c r="J136" s="1" t="s">
        <v>569</v>
      </c>
      <c r="K136" s="2" t="s">
        <v>570</v>
      </c>
      <c r="L136" s="1" t="str">
        <f t="shared" si="63"/>
        <v>AdvanceAlongResourceWorkingDay(Me.Resource;#2025/3/2 14:30#;3;0;0)</v>
      </c>
    </row>
    <row r="137" spans="1:12" s="1" customFormat="1" ht="20" customHeight="1" x14ac:dyDescent="0.3">
      <c r="A137" s="1" t="s">
        <v>571</v>
      </c>
      <c r="B137" s="1" t="str">
        <f t="shared" si="61"/>
        <v>AdvanceAlongResourceWorkingTime(对象;日期;时间间隔)：</v>
      </c>
      <c r="C137" s="1" t="s">
        <v>572</v>
      </c>
      <c r="D137" s="1" t="str">
        <f t="shared" si="62"/>
        <v>日期(沿着所指定资源的稼动时间，经过所指定时间之后的时刻)</v>
      </c>
      <c r="E137" s="1" t="s">
        <v>17</v>
      </c>
      <c r="F137" s="1" t="s">
        <v>573</v>
      </c>
      <c r="H137" s="1">
        <v>3</v>
      </c>
      <c r="I137" s="1" t="s">
        <v>491</v>
      </c>
      <c r="J137" s="1" t="s">
        <v>574</v>
      </c>
      <c r="K137" s="2" t="s">
        <v>575</v>
      </c>
      <c r="L137" s="1" t="str">
        <f t="shared" si="63"/>
        <v>AdvanceAlongResourceWorkingTime(Me.Resource;#2023/10/5 14:30#;60m)</v>
      </c>
    </row>
    <row r="138" spans="1:12" x14ac:dyDescent="0.3">
      <c r="B138" s="3" t="s">
        <v>616</v>
      </c>
      <c r="C138" s="6" t="s">
        <v>586</v>
      </c>
    </row>
    <row r="139" spans="1:12" s="1" customFormat="1" ht="20" customHeight="1" x14ac:dyDescent="0.3">
      <c r="A139" s="1" t="s">
        <v>587</v>
      </c>
      <c r="B139" s="1" t="str">
        <f>A139&amp;"("&amp;I139&amp;")："</f>
        <v>GetUseInstListByEndTime(对象;日期;日期)：</v>
      </c>
      <c r="C139" s="1" t="s">
        <v>588</v>
      </c>
      <c r="D139" s="1" t="str">
        <f t="shared" ref="D139:D150" si="64">E139&amp;"("&amp;F139&amp;")"</f>
        <v>对象(符合条件的使用指令的数组)</v>
      </c>
      <c r="E139" s="1" t="s">
        <v>274</v>
      </c>
      <c r="F139" s="1" t="s">
        <v>589</v>
      </c>
      <c r="H139" s="1">
        <v>3</v>
      </c>
      <c r="I139" s="1" t="s">
        <v>451</v>
      </c>
      <c r="J139" s="1" t="s">
        <v>590</v>
      </c>
      <c r="K139" s="2" t="s">
        <v>591</v>
      </c>
      <c r="L139" s="1" t="str">
        <f t="shared" ref="L139:L150" si="65">A139&amp;"("&amp;K139&amp;")"</f>
        <v>GetUseInstListByEndTime(Me.Resource;#2023/6/1#;#2023/7/1#)</v>
      </c>
    </row>
    <row r="140" spans="1:12" s="1" customFormat="1" ht="20" customHeight="1" x14ac:dyDescent="0.3">
      <c r="A140" s="1" t="s">
        <v>587</v>
      </c>
      <c r="B140" s="1" t="str">
        <f t="shared" ref="B140:B150" si="66">A140&amp;"("&amp;I140&amp;")："</f>
        <v>GetUseInstListByEndTime(对象;日期;时间间隔)：</v>
      </c>
      <c r="C140" s="1" t="s">
        <v>592</v>
      </c>
      <c r="D140" s="1" t="str">
        <f t="shared" si="64"/>
        <v>对象(符合条件的使用指令的数组)</v>
      </c>
      <c r="E140" s="1" t="s">
        <v>274</v>
      </c>
      <c r="F140" s="1" t="s">
        <v>589</v>
      </c>
      <c r="H140" s="1">
        <v>3</v>
      </c>
      <c r="I140" s="1" t="s">
        <v>491</v>
      </c>
      <c r="J140" s="1" t="s">
        <v>593</v>
      </c>
      <c r="K140" s="2" t="s">
        <v>594</v>
      </c>
      <c r="L140" s="1" t="str">
        <f t="shared" si="65"/>
        <v>GetUseInstListByEndTime(Me.Resource;#2023/6/1#;5d)</v>
      </c>
    </row>
    <row r="141" spans="1:12" s="1" customFormat="1" ht="20" customHeight="1" x14ac:dyDescent="0.3">
      <c r="A141" s="1" t="s">
        <v>595</v>
      </c>
      <c r="B141" s="1" t="str">
        <f t="shared" si="66"/>
        <v>GetUseInstListByEndTimeIF(对象;日期;日期;筛选式)：</v>
      </c>
      <c r="C141" s="1" t="s">
        <v>596</v>
      </c>
      <c r="D141" s="1" t="str">
        <f t="shared" si="64"/>
        <v>对象(符合条件的使用指令的数组)</v>
      </c>
      <c r="E141" s="1" t="s">
        <v>274</v>
      </c>
      <c r="F141" s="1" t="s">
        <v>589</v>
      </c>
      <c r="H141" s="1">
        <v>4</v>
      </c>
      <c r="I141" s="1" t="s">
        <v>502</v>
      </c>
      <c r="J141" s="1" t="s">
        <v>597</v>
      </c>
      <c r="K141" s="2" t="s">
        <v>598</v>
      </c>
      <c r="L141" s="1" t="str">
        <f>A141&amp;"("&amp;K141&amp;")"</f>
        <v>GetUseInstListByEndTimeIF(Me.Resource;#2023/6/1#;#2023/7/1#;TARGET.UseInst_Work.Work_Type=='P')</v>
      </c>
    </row>
    <row r="142" spans="1:12" s="1" customFormat="1" ht="20" customHeight="1" x14ac:dyDescent="0.3">
      <c r="A142" s="1" t="s">
        <v>595</v>
      </c>
      <c r="B142" s="1" t="str">
        <f t="shared" si="66"/>
        <v>GetUseInstListByEndTimeIF(对象;日期;时间间隔;筛选式)：</v>
      </c>
      <c r="C142" s="1" t="s">
        <v>599</v>
      </c>
      <c r="D142" s="1" t="str">
        <f t="shared" si="64"/>
        <v>对象(符合条件的使用指令的数组)</v>
      </c>
      <c r="E142" s="1" t="s">
        <v>274</v>
      </c>
      <c r="F142" s="1" t="s">
        <v>589</v>
      </c>
      <c r="H142" s="1">
        <v>4</v>
      </c>
      <c r="I142" s="1" t="s">
        <v>504</v>
      </c>
      <c r="J142" s="1" t="s">
        <v>600</v>
      </c>
      <c r="K142" s="2" t="s">
        <v>601</v>
      </c>
      <c r="L142" s="1" t="str">
        <f t="shared" si="65"/>
        <v>GetUseInstListByEndTimeIF(Me.Resource;#2023/6/1#;5d;TARGET.UseInst_Work.Work_Type=='P')</v>
      </c>
    </row>
    <row r="143" spans="1:12" s="1" customFormat="1" ht="20" customHeight="1" x14ac:dyDescent="0.3">
      <c r="A143" s="1" t="s">
        <v>602</v>
      </c>
      <c r="B143" s="1" t="str">
        <f t="shared" si="66"/>
        <v>GetUseInstListByStartTime(对象;日期;日期)：</v>
      </c>
      <c r="C143" s="1" t="s">
        <v>603</v>
      </c>
      <c r="D143" s="1" t="str">
        <f t="shared" si="64"/>
        <v>对象(符合条件的使用指令的数组)</v>
      </c>
      <c r="E143" s="1" t="s">
        <v>274</v>
      </c>
      <c r="F143" s="1" t="s">
        <v>589</v>
      </c>
      <c r="H143" s="1">
        <v>3</v>
      </c>
      <c r="I143" s="1" t="s">
        <v>451</v>
      </c>
      <c r="J143" s="1" t="s">
        <v>590</v>
      </c>
      <c r="K143" s="2" t="s">
        <v>591</v>
      </c>
      <c r="L143" s="1" t="str">
        <f t="shared" si="65"/>
        <v>GetUseInstListByStartTime(Me.Resource;#2023/6/1#;#2023/7/1#)</v>
      </c>
    </row>
    <row r="144" spans="1:12" s="1" customFormat="1" ht="20" customHeight="1" x14ac:dyDescent="0.3">
      <c r="A144" s="1" t="s">
        <v>602</v>
      </c>
      <c r="B144" s="1" t="str">
        <f t="shared" si="66"/>
        <v>GetUseInstListByStartTime(对象;日期;时间间隔)：</v>
      </c>
      <c r="C144" s="1" t="s">
        <v>604</v>
      </c>
      <c r="D144" s="1" t="str">
        <f t="shared" si="64"/>
        <v>对象(符合条件的使用指令的数组)</v>
      </c>
      <c r="E144" s="1" t="s">
        <v>274</v>
      </c>
      <c r="F144" s="1" t="s">
        <v>589</v>
      </c>
      <c r="H144" s="1">
        <v>3</v>
      </c>
      <c r="I144" s="1" t="s">
        <v>491</v>
      </c>
      <c r="J144" s="1" t="s">
        <v>593</v>
      </c>
      <c r="K144" s="2" t="s">
        <v>594</v>
      </c>
      <c r="L144" s="1" t="str">
        <f t="shared" si="65"/>
        <v>GetUseInstListByStartTime(Me.Resource;#2023/6/1#;5d)</v>
      </c>
    </row>
    <row r="145" spans="1:12" s="1" customFormat="1" ht="20" customHeight="1" x14ac:dyDescent="0.3">
      <c r="A145" s="1" t="s">
        <v>605</v>
      </c>
      <c r="B145" s="1" t="str">
        <f t="shared" si="66"/>
        <v>GetUseInstListByStartTimeIF(对象;日期;日期;筛选式)：</v>
      </c>
      <c r="C145" s="1" t="s">
        <v>606</v>
      </c>
      <c r="D145" s="1" t="str">
        <f t="shared" si="64"/>
        <v>对象(符合条件的使用指令的数组)</v>
      </c>
      <c r="E145" s="1" t="s">
        <v>274</v>
      </c>
      <c r="F145" s="1" t="s">
        <v>589</v>
      </c>
      <c r="H145" s="1">
        <v>4</v>
      </c>
      <c r="I145" s="1" t="s">
        <v>502</v>
      </c>
      <c r="J145" s="1" t="s">
        <v>597</v>
      </c>
      <c r="K145" s="2" t="s">
        <v>598</v>
      </c>
      <c r="L145" s="1" t="str">
        <f t="shared" si="65"/>
        <v>GetUseInstListByStartTimeIF(Me.Resource;#2023/6/1#;#2023/7/1#;TARGET.UseInst_Work.Work_Type=='P')</v>
      </c>
    </row>
    <row r="146" spans="1:12" s="1" customFormat="1" ht="20" customHeight="1" x14ac:dyDescent="0.3">
      <c r="A146" s="1" t="s">
        <v>605</v>
      </c>
      <c r="B146" s="1" t="str">
        <f t="shared" si="66"/>
        <v>GetUseInstListByStartTimeIF(对象;日期;时间间隔;筛选式)：</v>
      </c>
      <c r="C146" s="1" t="s">
        <v>607</v>
      </c>
      <c r="D146" s="1" t="str">
        <f t="shared" si="64"/>
        <v>对象(符合条件的使用指令的数组)</v>
      </c>
      <c r="E146" s="1" t="s">
        <v>274</v>
      </c>
      <c r="F146" s="1" t="s">
        <v>589</v>
      </c>
      <c r="H146" s="1">
        <v>4</v>
      </c>
      <c r="I146" s="1" t="s">
        <v>504</v>
      </c>
      <c r="J146" s="1" t="s">
        <v>600</v>
      </c>
      <c r="K146" s="2" t="s">
        <v>601</v>
      </c>
      <c r="L146" s="1" t="str">
        <f t="shared" si="65"/>
        <v>GetUseInstListByStartTimeIF(Me.Resource;#2023/6/1#;5d;TARGET.UseInst_Work.Work_Type=='P')</v>
      </c>
    </row>
    <row r="147" spans="1:12" s="1" customFormat="1" ht="20" customHeight="1" x14ac:dyDescent="0.3">
      <c r="A147" s="1" t="s">
        <v>608</v>
      </c>
      <c r="B147" s="1" t="str">
        <f t="shared" si="66"/>
        <v>GetUseInstListOverlappingPeriod(对象;日期;日期)：</v>
      </c>
      <c r="C147" s="1" t="s">
        <v>609</v>
      </c>
      <c r="D147" s="1" t="str">
        <f t="shared" si="64"/>
        <v>对象(符合条件的使用指令的数组)</v>
      </c>
      <c r="E147" s="1" t="s">
        <v>274</v>
      </c>
      <c r="F147" s="1" t="s">
        <v>589</v>
      </c>
      <c r="H147" s="1">
        <v>3</v>
      </c>
      <c r="I147" s="1" t="s">
        <v>451</v>
      </c>
      <c r="J147" s="1" t="s">
        <v>590</v>
      </c>
      <c r="K147" s="2" t="s">
        <v>591</v>
      </c>
      <c r="L147" s="1" t="str">
        <f t="shared" si="65"/>
        <v>GetUseInstListOverlappingPeriod(Me.Resource;#2023/6/1#;#2023/7/1#)</v>
      </c>
    </row>
    <row r="148" spans="1:12" s="1" customFormat="1" ht="20" customHeight="1" x14ac:dyDescent="0.3">
      <c r="A148" s="1" t="s">
        <v>608</v>
      </c>
      <c r="B148" s="1" t="str">
        <f t="shared" si="66"/>
        <v>GetUseInstListOverlappingPeriod(对象;日期;时间间隔)：</v>
      </c>
      <c r="C148" s="1" t="s">
        <v>610</v>
      </c>
      <c r="D148" s="1" t="str">
        <f t="shared" si="64"/>
        <v>对象(符合条件的使用指令的数组)</v>
      </c>
      <c r="E148" s="1" t="s">
        <v>274</v>
      </c>
      <c r="F148" s="1" t="s">
        <v>589</v>
      </c>
      <c r="H148" s="1">
        <v>3</v>
      </c>
      <c r="I148" s="1" t="s">
        <v>491</v>
      </c>
      <c r="J148" s="1" t="s">
        <v>611</v>
      </c>
      <c r="K148" s="2" t="s">
        <v>594</v>
      </c>
      <c r="L148" s="1" t="str">
        <f t="shared" si="65"/>
        <v>GetUseInstListOverlappingPeriod(Me.Resource;#2023/6/1#;5d)</v>
      </c>
    </row>
    <row r="149" spans="1:12" s="1" customFormat="1" ht="20" customHeight="1" x14ac:dyDescent="0.3">
      <c r="A149" s="1" t="s">
        <v>612</v>
      </c>
      <c r="B149" s="1" t="str">
        <f t="shared" si="66"/>
        <v>GetUseInstListOverlappingPeriodIF(对象;日期;日期;筛选式)：</v>
      </c>
      <c r="C149" s="1" t="s">
        <v>613</v>
      </c>
      <c r="D149" s="1" t="str">
        <f t="shared" si="64"/>
        <v>对象(符合条件的使用指令的数组)</v>
      </c>
      <c r="E149" s="1" t="s">
        <v>274</v>
      </c>
      <c r="F149" s="1" t="s">
        <v>589</v>
      </c>
      <c r="H149" s="1">
        <v>4</v>
      </c>
      <c r="I149" s="1" t="s">
        <v>502</v>
      </c>
      <c r="J149" s="1" t="s">
        <v>597</v>
      </c>
      <c r="K149" s="2" t="s">
        <v>598</v>
      </c>
      <c r="L149" s="1" t="str">
        <f t="shared" si="65"/>
        <v>GetUseInstListOverlappingPeriodIF(Me.Resource;#2023/6/1#;#2023/7/1#;TARGET.UseInst_Work.Work_Type=='P')</v>
      </c>
    </row>
    <row r="150" spans="1:12" s="1" customFormat="1" ht="20" customHeight="1" x14ac:dyDescent="0.3">
      <c r="A150" s="1" t="s">
        <v>612</v>
      </c>
      <c r="B150" s="1" t="str">
        <f t="shared" si="66"/>
        <v>GetUseInstListOverlappingPeriodIF(对象;日期;时间间隔;筛选式)：</v>
      </c>
      <c r="C150" s="1" t="s">
        <v>614</v>
      </c>
      <c r="D150" s="1" t="str">
        <f t="shared" si="64"/>
        <v>对象(符合条件的使用指令的数组)</v>
      </c>
      <c r="E150" s="1" t="s">
        <v>274</v>
      </c>
      <c r="F150" s="1" t="s">
        <v>589</v>
      </c>
      <c r="H150" s="1">
        <v>4</v>
      </c>
      <c r="I150" s="1" t="s">
        <v>504</v>
      </c>
      <c r="J150" s="1" t="s">
        <v>600</v>
      </c>
      <c r="K150" s="2" t="s">
        <v>601</v>
      </c>
      <c r="L150" s="1" t="str">
        <f t="shared" si="65"/>
        <v>GetUseInstListOverlappingPeriodIF(Me.Resource;#2023/6/1#;5d;TARGET.UseInst_Work.Work_Type=='P')</v>
      </c>
    </row>
    <row r="151" spans="1:12" s="1" customFormat="1" ht="20" customHeight="1" x14ac:dyDescent="0.3">
      <c r="A151" s="1" t="s">
        <v>576</v>
      </c>
      <c r="B151" s="1" t="str">
        <f>A151&amp;"("&amp;I151&amp;")："</f>
        <v>GetNearestUseInstOfDiffWork_Left(对象;日期;对象;整数)：</v>
      </c>
      <c r="C151" s="1" t="s">
        <v>577</v>
      </c>
      <c r="D151" s="1" t="str">
        <f>E151&amp;"("&amp;F151&amp;")"</f>
        <v>对象(使用指令数组)</v>
      </c>
      <c r="E151" s="1" t="s">
        <v>274</v>
      </c>
      <c r="F151" s="1" t="s">
        <v>578</v>
      </c>
      <c r="G151" s="1">
        <v>24</v>
      </c>
      <c r="H151" s="1">
        <v>4</v>
      </c>
      <c r="I151" s="1" t="s">
        <v>579</v>
      </c>
      <c r="J151" s="1" t="s">
        <v>580</v>
      </c>
      <c r="K151" s="2" t="s">
        <v>581</v>
      </c>
      <c r="L151" s="1" t="str">
        <f>A151&amp;"("&amp;K151&amp;")"</f>
        <v>GetNearestUseInstOfDiffWork_Left(ME.Resource;ME.StartTime;ME.Operation;1)</v>
      </c>
    </row>
    <row r="152" spans="1:12" s="1" customFormat="1" ht="20" customHeight="1" x14ac:dyDescent="0.3">
      <c r="A152" s="1" t="s">
        <v>582</v>
      </c>
      <c r="B152" s="1" t="str">
        <f>A152&amp;"("&amp;I152&amp;")："</f>
        <v>GetNearestUseInstOfDiffWork_Right(对象;日期;对象;整数)：</v>
      </c>
      <c r="C152" s="1" t="s">
        <v>583</v>
      </c>
      <c r="D152" s="1" t="str">
        <f>E152&amp;"("&amp;F152&amp;")"</f>
        <v>对象(使用指令数组)</v>
      </c>
      <c r="E152" s="1" t="s">
        <v>274</v>
      </c>
      <c r="F152" s="1" t="s">
        <v>578</v>
      </c>
      <c r="G152" s="1">
        <v>24</v>
      </c>
      <c r="H152" s="1">
        <v>4</v>
      </c>
      <c r="I152" s="1" t="s">
        <v>579</v>
      </c>
      <c r="J152" s="1" t="s">
        <v>584</v>
      </c>
      <c r="K152" s="2" t="s">
        <v>585</v>
      </c>
      <c r="L152" s="1" t="str">
        <f>A152&amp;"("&amp;K152&amp;")"</f>
        <v>GetNearestUseInstOfDiffWork_Right(ME.Resource;ME.EndTime;ME.Operation;1)</v>
      </c>
    </row>
    <row r="178" spans="1:12" x14ac:dyDescent="0.3">
      <c r="B178" s="3" t="s">
        <v>427</v>
      </c>
    </row>
    <row r="179" spans="1:12" s="1" customFormat="1" ht="20" customHeight="1" x14ac:dyDescent="0.3">
      <c r="A179" s="1" t="s">
        <v>402</v>
      </c>
      <c r="B179" s="1" t="str">
        <f t="shared" ref="B179:B183" si="67">A179&amp;"("&amp;I179&amp;")："</f>
        <v>IsModuleType(整数)：</v>
      </c>
      <c r="C179" s="1" t="s">
        <v>403</v>
      </c>
      <c r="D179" s="1" t="str">
        <f t="shared" ref="D179:D183" si="68">E179&amp;"("&amp;F179&amp;")"</f>
        <v>布尔(如果是所指定的模组的话TRUE)</v>
      </c>
      <c r="E179" s="1" t="s">
        <v>181</v>
      </c>
      <c r="F179" s="1" t="s">
        <v>404</v>
      </c>
      <c r="H179" s="1">
        <v>1</v>
      </c>
      <c r="I179" s="1" t="s">
        <v>15</v>
      </c>
      <c r="J179" s="1" t="s">
        <v>405</v>
      </c>
      <c r="K179" s="2">
        <v>1</v>
      </c>
      <c r="L179" s="1" t="str">
        <f t="shared" ref="L179:L183" si="69">A179&amp;"("&amp;K179&amp;")"</f>
        <v>IsModuleType(1)</v>
      </c>
    </row>
    <row r="180" spans="1:12" s="1" customFormat="1" ht="20" customHeight="1" x14ac:dyDescent="0.3">
      <c r="A180" s="1" t="s">
        <v>406</v>
      </c>
      <c r="B180" s="1" t="str">
        <f t="shared" si="67"/>
        <v>IsOptionalFeatureEnabled(整数)：</v>
      </c>
      <c r="C180" s="1" t="s">
        <v>407</v>
      </c>
      <c r="D180" s="1" t="str">
        <f t="shared" si="68"/>
        <v>布尔()</v>
      </c>
      <c r="E180" s="1" t="s">
        <v>181</v>
      </c>
      <c r="H180" s="1">
        <v>1</v>
      </c>
      <c r="I180" s="1" t="s">
        <v>15</v>
      </c>
      <c r="J180" s="1" t="s">
        <v>408</v>
      </c>
      <c r="K180" s="2">
        <v>1</v>
      </c>
      <c r="L180" s="1" t="str">
        <f t="shared" si="69"/>
        <v>IsOptionalFeatureEnabled(1)</v>
      </c>
    </row>
    <row r="181" spans="1:12" s="1" customFormat="1" ht="20" customHeight="1" x14ac:dyDescent="0.3">
      <c r="A181" s="1" t="s">
        <v>409</v>
      </c>
      <c r="B181" s="1" t="str">
        <f t="shared" si="67"/>
        <v>IsSerialNumberActivatedFeatureEnabled(整数)：</v>
      </c>
      <c r="C181" s="1" t="s">
        <v>410</v>
      </c>
      <c r="D181" s="1" t="str">
        <f t="shared" si="68"/>
        <v>布尔()</v>
      </c>
      <c r="E181" s="1" t="s">
        <v>181</v>
      </c>
      <c r="H181" s="1">
        <v>1</v>
      </c>
      <c r="I181" s="1" t="s">
        <v>15</v>
      </c>
      <c r="J181" s="1" t="s">
        <v>411</v>
      </c>
      <c r="K181" s="2">
        <v>1</v>
      </c>
      <c r="L181" s="1" t="str">
        <f t="shared" si="69"/>
        <v>IsSerialNumberActivatedFeatureEnabled(1)</v>
      </c>
    </row>
    <row r="182" spans="1:12" s="1" customFormat="1" ht="20" customHeight="1" x14ac:dyDescent="0.3">
      <c r="A182" s="1" t="s">
        <v>412</v>
      </c>
      <c r="B182" s="1" t="str">
        <f t="shared" si="67"/>
        <v>IsVersionDependentFeatureEnabled(整数)：</v>
      </c>
      <c r="C182" s="1" t="s">
        <v>413</v>
      </c>
      <c r="D182" s="1" t="str">
        <f t="shared" si="68"/>
        <v>布尔()</v>
      </c>
      <c r="E182" s="1" t="s">
        <v>181</v>
      </c>
      <c r="H182" s="1">
        <v>1</v>
      </c>
      <c r="I182" s="1" t="s">
        <v>15</v>
      </c>
      <c r="J182" s="1" t="s">
        <v>414</v>
      </c>
      <c r="K182" s="2">
        <v>1</v>
      </c>
      <c r="L182" s="1" t="str">
        <f t="shared" si="69"/>
        <v>IsVersionDependentFeatureEnabled(1)</v>
      </c>
    </row>
    <row r="183" spans="1:12" s="1" customFormat="1" ht="20" customHeight="1" x14ac:dyDescent="0.3">
      <c r="A183" s="1" t="s">
        <v>421</v>
      </c>
      <c r="B183" s="1" t="str">
        <f t="shared" si="67"/>
        <v>RGB(整数;整数;整数)：</v>
      </c>
      <c r="C183" s="1" t="s">
        <v>422</v>
      </c>
      <c r="D183" s="1" t="str">
        <f t="shared" si="68"/>
        <v>颜色(颜色型属性)</v>
      </c>
      <c r="E183" s="1" t="s">
        <v>423</v>
      </c>
      <c r="F183" s="1" t="s">
        <v>424</v>
      </c>
      <c r="H183" s="1">
        <v>3</v>
      </c>
      <c r="I183" s="1" t="s">
        <v>47</v>
      </c>
      <c r="J183" s="1" t="s">
        <v>425</v>
      </c>
      <c r="K183" s="2" t="s">
        <v>426</v>
      </c>
      <c r="L183" s="1" t="str">
        <f t="shared" si="69"/>
        <v>RGB(255;255;255)</v>
      </c>
    </row>
  </sheetData>
  <mergeCells count="2">
    <mergeCell ref="A1:B1"/>
    <mergeCell ref="A10:B1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 Time</dc:creator>
  <cp:lastModifiedBy>Ye Time</cp:lastModifiedBy>
  <dcterms:created xsi:type="dcterms:W3CDTF">2026-04-21T02:30:04Z</dcterms:created>
  <dcterms:modified xsi:type="dcterms:W3CDTF">2026-04-21T07:28:27Z</dcterms:modified>
</cp:coreProperties>
</file>